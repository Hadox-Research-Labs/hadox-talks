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323cbba53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dades" sheetId="1" r:id="R950cffbd5e064ad3"/>
    <x:sheet xmlns:r="http://schemas.openxmlformats.org/officeDocument/2006/relationships" name="Industrias" sheetId="2" r:id="R3fe4190c753d4adf"/>
    <x:sheet xmlns:r="http://schemas.openxmlformats.org/officeDocument/2006/relationships" name="Evaluar herramienta" sheetId="3" r:id="R2c2c562235404ba7"/>
    <x:sheet xmlns:r="http://schemas.openxmlformats.org/officeDocument/2006/relationships" name="Costos" sheetId="4" r:id="Re753255bbc4f41ad"/>
    <x:sheet xmlns:r="http://schemas.openxmlformats.org/officeDocument/2006/relationships" name="Tarifas públicas" sheetId="5" r:id="R88a20a5da54c43e3"/>
    <x:sheet xmlns:r="http://schemas.openxmlformats.org/officeDocument/2006/relationships" name="Análisis de datos" sheetId="6" r:id="R6345b3bdc23c40b6"/>
    <x:sheet xmlns:r="http://schemas.openxmlformats.org/officeDocument/2006/relationships" name="Catálogo" sheetId="7" r:id="R790c95a01ead4e36"/>
    <x:sheet xmlns:r="http://schemas.openxmlformats.org/officeDocument/2006/relationships" name="Marcos" sheetId="8" r:id="Rf1e7b11309124eb5"/>
    <x:sheet xmlns:r="http://schemas.openxmlformats.org/officeDocument/2006/relationships" name="Cómo comparar" sheetId="9" r:id="Re3ec858ed159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—&quot;"/>
    <x:numFmt numFmtId="201" formatCode="0.0000"/>
    <x:numFmt numFmtId="202" formatCode="0.000"/>
    <x:numFmt numFmtId="203" formatCode="#,##0;(#,##0);&quot;—&quot;"/>
    <x:numFmt numFmtId="204" formatCode="0.0%"/>
  </x:numFmts>
  <x:fonts count="6">
    <x:font>
      <x:sz val="11"/>
      <x:name val="Carlito"/>
    </x:font>
    <x:font>
      <x:sz val="11"/>
      <x:name val="Arial"/>
    </x:font>
    <x:font>
      <x:b/>
      <x:sz val="16"/>
      <x:color rgb="FF25364B"/>
      <x:name val="Arial"/>
    </x:font>
    <x:font>
      <x:sz val="11"/>
      <x:color rgb="FF243042"/>
      <x:name val="Arial"/>
    </x:font>
    <x:font>
      <x:b/>
      <x:sz val="11"/>
      <x:color rgb="FFFFFFFF"/>
      <x:name val="Arial"/>
    </x:font>
    <x:font>
      <x:sz val="11"/>
      <x:color rgb="FF195AB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64B"/>
      </x:patternFill>
    </x:fill>
    <x:fill>
      <x:patternFill patternType="solid">
        <x:fgColor rgb="FFEEF2F6"/>
      </x:patternFill>
    </x:fill>
    <x:fill>
      <x:patternFill patternType="solid">
        <x:fgColor rgb="FFFFF1CC"/>
      </x:patternFill>
    </x:fill>
  </x:fills>
  <x:borders count="2">
    <x:border/>
    <x:border>
      <x:bottom style="thin">
        <x:color rgb="FF25364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3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4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284732"/>
      </x:font>
      <x:fill>
        <x:patternFill>
          <x:bgColor rgb="FFDFEADB"/>
        </x:patternFill>
      </x:fill>
    </x:dxf>
    <x:dxf>
      <x:font>
        <x:color rgb="FF6C4A00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5240aadbf4134" /><Relationship Type="http://schemas.openxmlformats.org/officeDocument/2006/relationships/theme" Target="/xl/theme/theme1.xml" Id="Ra2099e63a51b45e0" /><Relationship Type="http://schemas.openxmlformats.org/officeDocument/2006/relationships/sharedStrings" Target="/xl/sharedStrings.xml" Id="R7b4ab9e8efe44f68" /><Relationship Type="http://schemas.openxmlformats.org/officeDocument/2006/relationships/worksheet" Target="/xl/worksheets/sheet1.xml" Id="R950cffbd5e064ad3" /><Relationship Type="http://schemas.openxmlformats.org/officeDocument/2006/relationships/worksheet" Target="/xl/worksheets/sheet2.xml" Id="R3fe4190c753d4adf" /><Relationship Type="http://schemas.openxmlformats.org/officeDocument/2006/relationships/worksheet" Target="/xl/worksheets/sheet3.xml" Id="R2c2c562235404ba7" /><Relationship Type="http://schemas.openxmlformats.org/officeDocument/2006/relationships/worksheet" Target="/xl/worksheets/sheet4.xml" Id="Re753255bbc4f41ad" /><Relationship Type="http://schemas.openxmlformats.org/officeDocument/2006/relationships/worksheet" Target="/xl/worksheets/sheet5.xml" Id="R88a20a5da54c43e3" /><Relationship Type="http://schemas.openxmlformats.org/officeDocument/2006/relationships/worksheet" Target="/xl/worksheets/sheet6.xml" Id="R6345b3bdc23c40b6" /><Relationship Type="http://schemas.openxmlformats.org/officeDocument/2006/relationships/worksheet" Target="/xl/worksheets/sheet7.xml" Id="R790c95a01ead4e36" /><Relationship Type="http://schemas.openxmlformats.org/officeDocument/2006/relationships/worksheet" Target="/xl/worksheets/sheet8.xml" Id="Rf1e7b11309124eb5" /><Relationship Type="http://schemas.openxmlformats.org/officeDocument/2006/relationships/worksheet" Target="/xl/worksheets/sheet9.xml" Id="Re3ec858ed1594cd1" /></Relationships>
</file>

<file path=xl/tables/table1.xml><?xml version="1.0" encoding="utf-8"?>
<x:table xmlns:x="http://schemas.openxmlformats.org/spreadsheetml/2006/main" id="1" name="Table1" displayName="Table1" ref="A5:N56" headerRowCount="1" totalsRowCount="0" totalsRowShown="0">
  <x:autoFilter ref="A5:N56"/>
  <x:tableColumns count="14">
    <x:tableColumn id="1" name="ID"/>
    <x:tableColumn id="2" name="Herramienta"/>
    <x:tableColumn id="3" name="Familia"/>
    <x:tableColumn id="4" name="Investigación"/>
    <x:tableColumn id="5" name="Documentos"/>
    <x:tableColumn id="6" name="Análisis tabular"/>
    <x:tableColumn id="7" name="BI y SQL"/>
    <x:tableColumn id="8" name="Modelos predictivos"/>
    <x:tableColumn id="9" name="Flujos y agentes"/>
    <x:tableColumn id="10" name="Imagen audio video"/>
    <x:tableColumn id="11" name="Desarrollo"/>
    <x:tableColumn id="12" name="Especialización sectorial"/>
    <x:tableColumn id="13" name="Evaluación y gobierno"/>
    <x:tableColumn id="14" name="Fuente ofi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J53" headerRowCount="1" totalsRowCount="0" totalsRowShown="0">
  <x:autoFilter ref="A5:J53"/>
  <x:tableColumns count="10">
    <x:tableColumn id="1" name="ID"/>
    <x:tableColumn id="2" name="Industria"/>
    <x:tableColumn id="3" name="Proceso"/>
    <x:tableColumn id="4" name="Capacidad"/>
    <x:tableColumn id="5" name="Candidatos a evaluar"/>
    <x:tableColumn id="6" name="Datos necesarios"/>
    <x:tableColumn id="7" name="Indicador"/>
    <x:tableColumn id="8" name="Control principal"/>
    <x:tableColumn id="9" name="Prueba de aceptación"/>
    <x:tableColumn id="10" name="Naturaleza de 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J41" headerRowCount="1" totalsRowCount="0" totalsRowShown="0">
  <x:autoFilter ref="A5:J41"/>
  <x:tableColumns count="10">
    <x:tableColumn id="1" name="ID"/>
    <x:tableColumn id="2" name="Etapa"/>
    <x:tableColumn id="3" name="Pregunta"/>
    <x:tableColumn id="4" name="Evidencia requerida"/>
    <x:tableColumn id="5" name="Responsable propuesto"/>
    <x:tableColumn id="6" name="Crítica"/>
    <x:tableColumn id="7" name="Referencia"/>
    <x:tableColumn id="8" name="Estado"/>
    <x:tableColumn id="9" name="Evidencia observada"/>
    <x:tableColumn id="10" name="Acción o responsable re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Table5" displayName="Table5" ref="A5:H18" headerRowCount="1" totalsRowCount="0" totalsRowShown="0">
  <x:autoFilter ref="A5:H18"/>
  <x:tableColumns count="8">
    <x:tableColumn id="1" name="Producto"/>
    <x:tableColumn id="2" name="Plan"/>
    <x:tableColumn id="3" name="Tarifa publicada de referencia"/>
    <x:tableColumn id="4" name="Unidad"/>
    <x:tableColumn id="5" name="Periodicidad y compromiso"/>
    <x:tableColumn id="6" name="Condición que afecta el presupuesto"/>
    <x:tableColumn id="7" name="Fuente oficial"/>
    <x:tableColumn id="8" name="Revis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6" displayName="Table6" ref="A5:F9" headerRowCount="1" totalsRowCount="0" totalsRowShown="0">
  <x:autoFilter ref="A5:F9"/>
  <x:tableColumns count="6">
    <x:tableColumn id="1" name="Alternativa"/>
    <x:tableColumn id="2" name="Capacidad comprobada en documentación"/>
    <x:tableColumn id="3" name="Cuándo elegirla"/>
    <x:tableColumn id="4" name="Qué verificar antes de clase"/>
    <x:tableColumn id="5" name="Recomendación docente"/>
    <x:tableColumn id="6" name="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7" displayName="Table7" ref="A5:J56" headerRowCount="1" totalsRowCount="0" totalsRowShown="0">
  <x:autoFilter ref="A5:J56"/>
  <x:tableColumns count="10">
    <x:tableColumn id="1" name="ID"/>
    <x:tableColumn id="2" name="Herramienta"/>
    <x:tableColumn id="3" name="Familia"/>
    <x:tableColumn id="4" name="Capacidad documentada"/>
    <x:tableColumn id="5" name="Entradas"/>
    <x:tableColumn id="6" name="Condición que verificar"/>
    <x:tableColumn id="7" name="Unidad que presupuestar"/>
    <x:tableColumn id="8" name="Fuente oficial"/>
    <x:tableColumn id="9" name="Revisión"/>
    <x:tableColumn id="10" name="Tipo de 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8" displayName="Table8" ref="A5:E15" headerRowCount="1" totalsRowCount="0" totalsRowShown="0">
  <x:autoFilter ref="A5:E15"/>
  <x:tableColumns count="5">
    <x:tableColumn id="1" name="Referencia"/>
    <x:tableColumn id="2" name="Naturaleza"/>
    <x:tableColumn id="3" name="Alcance"/>
    <x:tableColumn id="4" name="Uso en la clase"/>
    <x:tableColumn id="5" name="Fuente oficia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9" displayName="Table9" ref="A5:B20" headerRowCount="1" totalsRowCount="0" totalsRowShown="0">
  <x:autoFilter ref="A5:B20"/>
  <x:tableColumns count="2">
    <x:tableColumn id="1" name="Tema"/>
    <x:tableColumn id="2" name="Regla de lec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e53c493d1143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89822363974d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34e2871cd842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6dd18e017d44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d287f82ad84a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a1193452ef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6518d283e944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59aabd290749e5" /></Relationships>
</file>

<file path=xl/worksheets/sheet1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42" hidden="0" customWidth="1"/>
    <x:col min="3" max="3" width="2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Capacidades de IA empresarial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" t="str">
        <x:v>D: capacidad documentada. I: integración propuesta por validar. —: no evaluada. No son puntuaciones de calidad.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6" customHeight="1">
      <x:c r="A5" s="10" t="str">
        <x:v>ID</x:v>
      </x:c>
      <x:c r="B5" s="10" t="str">
        <x:v>Herramienta</x:v>
      </x:c>
      <x:c r="C5" s="10" t="str">
        <x:v>Familia</x:v>
      </x:c>
      <x:c r="D5" s="10" t="str">
        <x:v>Investigación</x:v>
      </x:c>
      <x:c r="E5" s="10" t="str">
        <x:v>Documentos</x:v>
      </x:c>
      <x:c r="F5" s="10" t="str">
        <x:v>Análisis tabular</x:v>
      </x:c>
      <x:c r="G5" s="10" t="str">
        <x:v>BI y SQL</x:v>
      </x:c>
      <x:c r="H5" s="10" t="str">
        <x:v>Modelos predictivos</x:v>
      </x:c>
      <x:c r="I5" s="10" t="str">
        <x:v>Flujos y agentes</x:v>
      </x:c>
      <x:c r="J5" s="10" t="str">
        <x:v>Imagen audio video</x:v>
      </x:c>
      <x:c r="K5" s="10" t="str">
        <x:v>Desarrollo</x:v>
      </x:c>
      <x:c r="L5" s="10" t="str">
        <x:v>Especialización sectorial</x:v>
      </x:c>
      <x:c r="M5" s="10" t="str">
        <x:v>Evaluación y gobierno</x:v>
      </x:c>
      <x:c r="N5" s="10" t="str">
        <x:v>Fuente oficial</x:v>
      </x:c>
    </x:row>
    <x:row r="6" ht="45" customHeight="1">
      <x:c r="A6" s="11" t="str">
        <x:v>T01</x:v>
      </x:c>
      <x:c r="B6" s="11" t="str">
        <x:v>ChatGPT</x:v>
      </x:c>
      <x:c r="C6" s="11" t="str">
        <x:v>Asistencia general</x:v>
      </x:c>
      <x:c r="D6" s="12" t="str">
        <x:v>I</x:v>
      </x:c>
      <x:c r="E6" s="12" t="str">
        <x:v>D</x:v>
      </x:c>
      <x:c r="F6" s="12" t="str">
        <x:v>D</x:v>
      </x:c>
      <x:c r="G6" s="12" t="str">
        <x:v>I</x:v>
      </x:c>
      <x:c r="H6" s="12" t="str">
        <x:v>I</x:v>
      </x:c>
      <x:c r="I6" s="12" t="str">
        <x:v>I</x:v>
      </x:c>
      <x:c r="J6" s="12" t="str">
        <x:v>—</x:v>
      </x:c>
      <x:c r="K6" s="12" t="str">
        <x:v>—</x:v>
      </x:c>
      <x:c r="L6" s="12" t="str">
        <x:v>—</x:v>
      </x:c>
      <x:c r="M6" s="12" t="str">
        <x:v>—</x:v>
      </x:c>
      <x:c r="N6" s="11" t="str">
        <x:v>https://learn.chatgpt.com/docs/artifacts-viewer</x:v>
      </x:c>
    </x:row>
    <x:row r="7" ht="45" customHeight="1">
      <x:c r="A7" s="6" t="str">
        <x:v>T02</x:v>
      </x:c>
      <x:c r="B7" s="6" t="str">
        <x:v>Claude</x:v>
      </x:c>
      <x:c r="C7" s="6" t="str">
        <x:v>Asistencia y análisis</x:v>
      </x:c>
      <x:c r="D7" s="13" t="str">
        <x:v>—</x:v>
      </x:c>
      <x:c r="E7" s="13" t="str">
        <x:v>D</x:v>
      </x:c>
      <x:c r="F7" s="13" t="str">
        <x:v>D</x:v>
      </x:c>
      <x:c r="G7" s="13" t="str">
        <x:v>I</x:v>
      </x:c>
      <x:c r="H7" s="13" t="str">
        <x:v>I</x:v>
      </x:c>
      <x:c r="I7" s="13" t="str">
        <x:v>I</x:v>
      </x:c>
      <x:c r="J7" s="13" t="str">
        <x:v>—</x:v>
      </x:c>
      <x:c r="K7" s="13" t="str">
        <x:v>D</x:v>
      </x:c>
      <x:c r="L7" s="13" t="str">
        <x:v>—</x:v>
      </x:c>
      <x:c r="M7" s="13" t="str">
        <x:v>—</x:v>
      </x:c>
      <x:c r="N7" s="6" t="str">
        <x:v>https://support.claude.com/en/articles/12111783-create-and-edit-files-with-claude</x:v>
      </x:c>
    </x:row>
    <x:row r="8" ht="45" customHeight="1">
      <x:c r="A8" s="11" t="str">
        <x:v>T03</x:v>
      </x:c>
      <x:c r="B8" s="11" t="str">
        <x:v>Gemini en Google Workspace</x:v>
      </x:c>
      <x:c r="C8" s="11" t="str">
        <x:v>Suite de productividad</x:v>
      </x:c>
      <x:c r="D8" s="12" t="str">
        <x:v>—</x:v>
      </x:c>
      <x:c r="E8" s="12" t="str">
        <x:v>D</x:v>
      </x:c>
      <x:c r="F8" s="12" t="str">
        <x:v>D</x:v>
      </x:c>
      <x:c r="G8" s="12" t="str">
        <x:v>I</x:v>
      </x:c>
      <x:c r="H8" s="12" t="str">
        <x:v>—</x:v>
      </x:c>
      <x:c r="I8" s="12" t="str">
        <x:v>I</x:v>
      </x:c>
      <x:c r="J8" s="12" t="str">
        <x:v>D</x:v>
      </x:c>
      <x:c r="K8" s="12" t="str">
        <x:v>—</x:v>
      </x:c>
      <x:c r="L8" s="12" t="str">
        <x:v>—</x:v>
      </x:c>
      <x:c r="M8" s="12" t="str">
        <x:v>—</x:v>
      </x:c>
      <x:c r="N8" s="11" t="str">
        <x:v>https://workspace.google.com/solutions/ai/</x:v>
      </x:c>
    </x:row>
    <x:row r="9" ht="45" customHeight="1">
      <x:c r="A9" s="6" t="str">
        <x:v>T04</x:v>
      </x:c>
      <x:c r="B9" s="6" t="str">
        <x:v>Gemini Notebook antes NotebookLM</x:v>
      </x:c>
      <x:c r="C9" s="6" t="str">
        <x:v>Investigación con fuentes</x:v>
      </x:c>
      <x:c r="D9" s="13" t="str">
        <x:v>D</x:v>
      </x:c>
      <x:c r="E9" s="13" t="str">
        <x:v>D</x:v>
      </x:c>
      <x:c r="F9" s="13" t="str">
        <x:v>I</x:v>
      </x:c>
      <x:c r="G9" s="13" t="str">
        <x:v>—</x:v>
      </x:c>
      <x:c r="H9" s="13" t="str">
        <x:v>—</x:v>
      </x:c>
      <x:c r="I9" s="13" t="str">
        <x:v>—</x:v>
      </x:c>
      <x:c r="J9" s="13" t="str">
        <x:v>—</x:v>
      </x:c>
      <x:c r="K9" s="13" t="str">
        <x:v>—</x:v>
      </x:c>
      <x:c r="L9" s="13" t="str">
        <x:v>—</x:v>
      </x:c>
      <x:c r="M9" s="13" t="str">
        <x:v>—</x:v>
      </x:c>
      <x:c r="N9" s="6" t="str">
        <x:v>https://support.google.com/gemininotebook/answer/16215270?hl=en</x:v>
      </x:c>
    </x:row>
    <x:row r="10" ht="45" customHeight="1">
      <x:c r="A10" s="11" t="str">
        <x:v>T05</x:v>
      </x:c>
      <x:c r="B10" s="11" t="str">
        <x:v>Perplexity Enterprise</x:v>
      </x:c>
      <x:c r="C10" s="11" t="str">
        <x:v>Investigación</x:v>
      </x:c>
      <x:c r="D10" s="12" t="str">
        <x:v>D</x:v>
      </x:c>
      <x:c r="E10" s="12" t="str">
        <x:v>D</x:v>
      </x:c>
      <x:c r="F10" s="12" t="str">
        <x:v>I</x:v>
      </x:c>
      <x:c r="G10" s="12" t="str">
        <x:v>—</x:v>
      </x:c>
      <x:c r="H10" s="12" t="str">
        <x:v>—</x:v>
      </x:c>
      <x:c r="I10" s="12" t="str">
        <x:v>—</x:v>
      </x:c>
      <x:c r="J10" s="12" t="str">
        <x:v>—</x:v>
      </x:c>
      <x:c r="K10" s="12" t="str">
        <x:v>—</x:v>
      </x:c>
      <x:c r="L10" s="12" t="str">
        <x:v>—</x:v>
      </x:c>
      <x:c r="M10" s="12" t="str">
        <x:v>—</x:v>
      </x:c>
      <x:c r="N10" s="11" t="str">
        <x:v>https://www.perplexity.ai/enterprise</x:v>
      </x:c>
    </x:row>
    <x:row r="11" ht="45" customHeight="1">
      <x:c r="A11" s="6" t="str">
        <x:v>T06</x:v>
      </x:c>
      <x:c r="B11" s="6" t="str">
        <x:v>Glean</x:v>
      </x:c>
      <x:c r="C11" s="6" t="str">
        <x:v>Conocimiento empresarial</x:v>
      </x:c>
      <x:c r="D11" s="13" t="str">
        <x:v>D</x:v>
      </x:c>
      <x:c r="E11" s="13" t="str">
        <x:v>D</x:v>
      </x:c>
      <x:c r="F11" s="13" t="str">
        <x:v>I</x:v>
      </x:c>
      <x:c r="G11" s="13" t="str">
        <x:v>I</x:v>
      </x:c>
      <x:c r="H11" s="13" t="str">
        <x:v>—</x:v>
      </x:c>
      <x:c r="I11" s="13" t="str">
        <x:v>D</x:v>
      </x:c>
      <x:c r="J11" s="13" t="str">
        <x:v>—</x:v>
      </x:c>
      <x:c r="K11" s="13" t="str">
        <x:v>—</x:v>
      </x:c>
      <x:c r="L11" s="13" t="str">
        <x:v>—</x:v>
      </x:c>
      <x:c r="M11" s="13" t="str">
        <x:v>—</x:v>
      </x:c>
      <x:c r="N11" s="6" t="str">
        <x:v>https://www.glean.com/</x:v>
      </x:c>
    </x:row>
    <x:row r="12" ht="45" customHeight="1">
      <x:c r="A12" s="11" t="str">
        <x:v>T07</x:v>
      </x:c>
      <x:c r="B12" s="11" t="str">
        <x:v>Notion AI</x:v>
      </x:c>
      <x:c r="C12" s="11" t="str">
        <x:v>Conocimiento y trabajo</x:v>
      </x:c>
      <x:c r="D12" s="12" t="str">
        <x:v>D</x:v>
      </x:c>
      <x:c r="E12" s="12" t="str">
        <x:v>D</x:v>
      </x:c>
      <x:c r="F12" s="12" t="str">
        <x:v>I</x:v>
      </x:c>
      <x:c r="G12" s="12" t="str">
        <x:v>I</x:v>
      </x:c>
      <x:c r="H12" s="12" t="str">
        <x:v>—</x:v>
      </x:c>
      <x:c r="I12" s="12" t="str">
        <x:v>D</x:v>
      </x:c>
      <x:c r="J12" s="12" t="str">
        <x:v>—</x:v>
      </x:c>
      <x:c r="K12" s="12" t="str">
        <x:v>—</x:v>
      </x:c>
      <x:c r="L12" s="12" t="str">
        <x:v>—</x:v>
      </x:c>
      <x:c r="M12" s="12" t="str">
        <x:v>—</x:v>
      </x:c>
      <x:c r="N12" s="11" t="str">
        <x:v>https://www.notion.com/product/ai</x:v>
      </x:c>
    </x:row>
    <x:row r="13" ht="45" customHeight="1">
      <x:c r="A13" s="6" t="str">
        <x:v>T08</x:v>
      </x:c>
      <x:c r="B13" s="6" t="str">
        <x:v>Atlassian Rovo</x:v>
      </x:c>
      <x:c r="C13" s="6" t="str">
        <x:v>Trabajo y conocimiento</x:v>
      </x:c>
      <x:c r="D13" s="13" t="str">
        <x:v>D</x:v>
      </x:c>
      <x:c r="E13" s="13" t="str">
        <x:v>D</x:v>
      </x:c>
      <x:c r="F13" s="13" t="str">
        <x:v>I</x:v>
      </x:c>
      <x:c r="G13" s="13" t="str">
        <x:v>—</x:v>
      </x:c>
      <x:c r="H13" s="13" t="str">
        <x:v>—</x:v>
      </x:c>
      <x:c r="I13" s="13" t="str">
        <x:v>D</x:v>
      </x:c>
      <x:c r="J13" s="13" t="str">
        <x:v>—</x:v>
      </x:c>
      <x:c r="K13" s="13" t="str">
        <x:v>—</x:v>
      </x:c>
      <x:c r="L13" s="13" t="str">
        <x:v>—</x:v>
      </x:c>
      <x:c r="M13" s="13" t="str">
        <x:v>—</x:v>
      </x:c>
      <x:c r="N13" s="6" t="str">
        <x:v>https://www.atlassian.com/software/rovo</x:v>
      </x:c>
    </x:row>
    <x:row r="14" ht="45" customHeight="1">
      <x:c r="A14" s="11" t="str">
        <x:v>T09</x:v>
      </x:c>
      <x:c r="B14" s="11" t="str">
        <x:v>n8n</x:v>
      </x:c>
      <x:c r="C14" s="11" t="str">
        <x:v>Orquestación</x:v>
      </x:c>
      <x:c r="D14" s="12" t="str">
        <x:v>—</x:v>
      </x:c>
      <x:c r="E14" s="12" t="str">
        <x:v>I</x:v>
      </x:c>
      <x:c r="F14" s="12" t="str">
        <x:v>I</x:v>
      </x:c>
      <x:c r="G14" s="12" t="str">
        <x:v>I</x:v>
      </x:c>
      <x:c r="H14" s="12" t="str">
        <x:v>I</x:v>
      </x:c>
      <x:c r="I14" s="12" t="str">
        <x:v>D</x:v>
      </x:c>
      <x:c r="J14" s="12" t="str">
        <x:v>I</x:v>
      </x:c>
      <x:c r="K14" s="12" t="str">
        <x:v>—</x:v>
      </x:c>
      <x:c r="L14" s="12" t="str">
        <x:v>—</x:v>
      </x:c>
      <x:c r="M14" s="12" t="str">
        <x:v>—</x:v>
      </x:c>
      <x:c r="N14" s="11" t="str">
        <x:v>https://n8n.io/ai/</x:v>
      </x:c>
    </x:row>
    <x:row r="15" ht="45" customHeight="1">
      <x:c r="A15" s="6" t="str">
        <x:v>T10</x:v>
      </x:c>
      <x:c r="B15" s="6" t="str">
        <x:v>Make AI Agents</x:v>
      </x:c>
      <x:c r="C15" s="6" t="str">
        <x:v>Orquestación</x:v>
      </x:c>
      <x:c r="D15" s="13" t="str">
        <x:v>—</x:v>
      </x:c>
      <x:c r="E15" s="13" t="str">
        <x:v>I</x:v>
      </x:c>
      <x:c r="F15" s="13" t="str">
        <x:v>I</x:v>
      </x:c>
      <x:c r="G15" s="13" t="str">
        <x:v>I</x:v>
      </x:c>
      <x:c r="H15" s="13" t="str">
        <x:v>—</x:v>
      </x:c>
      <x:c r="I15" s="13" t="str">
        <x:v>D</x:v>
      </x:c>
      <x:c r="J15" s="13" t="str">
        <x:v>I</x:v>
      </x:c>
      <x:c r="K15" s="13" t="str">
        <x:v>—</x:v>
      </x:c>
      <x:c r="L15" s="13" t="str">
        <x:v>—</x:v>
      </x:c>
      <x:c r="M15" s="13" t="str">
        <x:v>—</x:v>
      </x:c>
      <x:c r="N15" s="6" t="str">
        <x:v>https://www.make.com/en/ai-agents</x:v>
      </x:c>
    </x:row>
    <x:row r="16" ht="45" customHeight="1">
      <x:c r="A16" s="11" t="str">
        <x:v>T11</x:v>
      </x:c>
      <x:c r="B16" s="11" t="str">
        <x:v>Zapier Agents</x:v>
      </x:c>
      <x:c r="C16" s="11" t="str">
        <x:v>Orquestación SaaS</x:v>
      </x:c>
      <x:c r="D16" s="12" t="str">
        <x:v>—</x:v>
      </x:c>
      <x:c r="E16" s="12" t="str">
        <x:v>I</x:v>
      </x:c>
      <x:c r="F16" s="12" t="str">
        <x:v>I</x:v>
      </x:c>
      <x:c r="G16" s="12" t="str">
        <x:v>I</x:v>
      </x:c>
      <x:c r="H16" s="12" t="str">
        <x:v>—</x:v>
      </x:c>
      <x:c r="I16" s="12" t="str">
        <x:v>D</x:v>
      </x:c>
      <x:c r="J16" s="12" t="str">
        <x:v>—</x:v>
      </x:c>
      <x:c r="K16" s="12" t="str">
        <x:v>—</x:v>
      </x:c>
      <x:c r="L16" s="12" t="str">
        <x:v>—</x:v>
      </x:c>
      <x:c r="M16" s="12" t="str">
        <x:v>—</x:v>
      </x:c>
      <x:c r="N16" s="11" t="str">
        <x:v>https://zapier.com/agents</x:v>
      </x:c>
    </x:row>
    <x:row r="17" ht="45" customHeight="1">
      <x:c r="A17" s="6" t="str">
        <x:v>T12</x:v>
      </x:c>
      <x:c r="B17" s="6" t="str">
        <x:v>UiPath</x:v>
      </x:c>
      <x:c r="C17" s="6" t="str">
        <x:v>Automatización empresarial</x:v>
      </x:c>
      <x:c r="D17" s="13" t="str">
        <x:v>—</x:v>
      </x:c>
      <x:c r="E17" s="13" t="str">
        <x:v>I</x:v>
      </x:c>
      <x:c r="F17" s="13" t="str">
        <x:v>I</x:v>
      </x:c>
      <x:c r="G17" s="13" t="str">
        <x:v>—</x:v>
      </x:c>
      <x:c r="H17" s="13" t="str">
        <x:v>—</x:v>
      </x:c>
      <x:c r="I17" s="13" t="str">
        <x:v>D</x:v>
      </x:c>
      <x:c r="J17" s="13" t="str">
        <x:v>I</x:v>
      </x:c>
      <x:c r="K17" s="13" t="str">
        <x:v>—</x:v>
      </x:c>
      <x:c r="L17" s="13" t="str">
        <x:v>—</x:v>
      </x:c>
      <x:c r="M17" s="13" t="str">
        <x:v>—</x:v>
      </x:c>
      <x:c r="N17" s="6" t="str">
        <x:v>https://www.uipath.com/automation/agentic-automation</x:v>
      </x:c>
    </x:row>
    <x:row r="18" ht="45" customHeight="1">
      <x:c r="A18" s="11" t="str">
        <x:v>T13</x:v>
      </x:c>
      <x:c r="B18" s="11" t="str">
        <x:v>Microsoft Copilot Studio</x:v>
      </x:c>
      <x:c r="C18" s="11" t="str">
        <x:v>Construcción de agentes</x:v>
      </x:c>
      <x:c r="D18" s="12" t="str">
        <x:v>—</x:v>
      </x:c>
      <x:c r="E18" s="12" t="str">
        <x:v>I</x:v>
      </x:c>
      <x:c r="F18" s="12" t="str">
        <x:v>I</x:v>
      </x:c>
      <x:c r="G18" s="12" t="str">
        <x:v>I</x:v>
      </x:c>
      <x:c r="H18" s="12" t="str">
        <x:v>—</x:v>
      </x:c>
      <x:c r="I18" s="12" t="str">
        <x:v>D</x:v>
      </x:c>
      <x:c r="J18" s="12" t="str">
        <x:v>—</x:v>
      </x:c>
      <x:c r="K18" s="12" t="str">
        <x:v>—</x:v>
      </x:c>
      <x:c r="L18" s="12" t="str">
        <x:v>—</x:v>
      </x:c>
      <x:c r="M18" s="12" t="str">
        <x:v>D</x:v>
      </x:c>
      <x:c r="N18" s="11" t="str">
        <x:v>https://www.microsoft.com/en-us/copilot/products/copilot-studio</x:v>
      </x:c>
    </x:row>
    <x:row r="19" ht="45" customHeight="1">
      <x:c r="A19" s="6" t="str">
        <x:v>T14</x:v>
      </x:c>
      <x:c r="B19" s="6" t="str">
        <x:v>Salesforce Agentforce</x:v>
      </x:c>
      <x:c r="C19" s="6" t="str">
        <x:v>CRM y atención</x:v>
      </x:c>
      <x:c r="D19" s="13" t="str">
        <x:v>—</x:v>
      </x:c>
      <x:c r="E19" s="13" t="str">
        <x:v>I</x:v>
      </x:c>
      <x:c r="F19" s="13" t="str">
        <x:v>I</x:v>
      </x:c>
      <x:c r="G19" s="13" t="str">
        <x:v>I</x:v>
      </x:c>
      <x:c r="H19" s="13" t="str">
        <x:v>—</x:v>
      </x:c>
      <x:c r="I19" s="13" t="str">
        <x:v>D</x:v>
      </x:c>
      <x:c r="J19" s="13" t="str">
        <x:v>—</x:v>
      </x:c>
      <x:c r="K19" s="13" t="str">
        <x:v>—</x:v>
      </x:c>
      <x:c r="L19" s="13" t="str">
        <x:v>I</x:v>
      </x:c>
      <x:c r="M19" s="13" t="str">
        <x:v>—</x:v>
      </x:c>
      <x:c r="N19" s="6" t="str">
        <x:v>https://www.salesforce.com/au/agentforce/</x:v>
      </x:c>
    </x:row>
    <x:row r="20" ht="45" customHeight="1">
      <x:c r="A20" s="11" t="str">
        <x:v>T15</x:v>
      </x:c>
      <x:c r="B20" s="11" t="str">
        <x:v>HubSpot Agent Hub</x:v>
      </x:c>
      <x:c r="C20" s="11" t="str">
        <x:v>CRM y comercial</x:v>
      </x:c>
      <x:c r="D20" s="12" t="str">
        <x:v>I</x:v>
      </x:c>
      <x:c r="E20" s="12" t="str">
        <x:v>I</x:v>
      </x:c>
      <x:c r="F20" s="12" t="str">
        <x:v>I</x:v>
      </x:c>
      <x:c r="G20" s="12" t="str">
        <x:v>—</x:v>
      </x:c>
      <x:c r="H20" s="12" t="str">
        <x:v>—</x:v>
      </x:c>
      <x:c r="I20" s="12" t="str">
        <x:v>D</x:v>
      </x:c>
      <x:c r="J20" s="12" t="str">
        <x:v>—</x:v>
      </x:c>
      <x:c r="K20" s="12" t="str">
        <x:v>—</x:v>
      </x:c>
      <x:c r="L20" s="12" t="str">
        <x:v>I</x:v>
      </x:c>
      <x:c r="M20" s="12" t="str">
        <x:v>—</x:v>
      </x:c>
      <x:c r="N20" s="11" t="str">
        <x:v>https://www.hubspot.com/products/artificial-intelligence</x:v>
      </x:c>
    </x:row>
    <x:row r="21" ht="45" customHeight="1">
      <x:c r="A21" s="6" t="str">
        <x:v>T16</x:v>
      </x:c>
      <x:c r="B21" s="6" t="str">
        <x:v>SAP Joule Assistants</x:v>
      </x:c>
      <x:c r="C21" s="6" t="str">
        <x:v>ERP y procesos</x:v>
      </x:c>
      <x:c r="D21" s="13" t="str">
        <x:v>—</x:v>
      </x:c>
      <x:c r="E21" s="13" t="str">
        <x:v>I</x:v>
      </x:c>
      <x:c r="F21" s="13" t="str">
        <x:v>I</x:v>
      </x:c>
      <x:c r="G21" s="13" t="str">
        <x:v>I</x:v>
      </x:c>
      <x:c r="H21" s="13" t="str">
        <x:v>—</x:v>
      </x:c>
      <x:c r="I21" s="13" t="str">
        <x:v>D</x:v>
      </x:c>
      <x:c r="J21" s="13" t="str">
        <x:v>—</x:v>
      </x:c>
      <x:c r="K21" s="13" t="str">
        <x:v>—</x:v>
      </x:c>
      <x:c r="L21" s="13" t="str">
        <x:v>I</x:v>
      </x:c>
      <x:c r="M21" s="13" t="str">
        <x:v>—</x:v>
      </x:c>
      <x:c r="N21" s="6" t="str">
        <x:v>https://www.sap.com/products/artificial-intelligence/ai-assistant.html</x:v>
      </x:c>
    </x:row>
    <x:row r="22" ht="45" customHeight="1">
      <x:c r="A22" s="11" t="str">
        <x:v>T17</x:v>
      </x:c>
      <x:c r="B22" s="11" t="str">
        <x:v>ServiceNow Otto</x:v>
      </x:c>
      <x:c r="C22" s="11" t="str">
        <x:v>Servicios empresariales</x:v>
      </x:c>
      <x:c r="D22" s="12" t="str">
        <x:v>—</x:v>
      </x:c>
      <x:c r="E22" s="12" t="str">
        <x:v>D</x:v>
      </x:c>
      <x:c r="F22" s="12" t="str">
        <x:v>I</x:v>
      </x:c>
      <x:c r="G22" s="12" t="str">
        <x:v>I</x:v>
      </x:c>
      <x:c r="H22" s="12" t="str">
        <x:v>—</x:v>
      </x:c>
      <x:c r="I22" s="12" t="str">
        <x:v>D</x:v>
      </x:c>
      <x:c r="J22" s="12" t="str">
        <x:v>—</x:v>
      </x:c>
      <x:c r="K22" s="12" t="str">
        <x:v>—</x:v>
      </x:c>
      <x:c r="L22" s="12" t="str">
        <x:v>—</x:v>
      </x:c>
      <x:c r="M22" s="12" t="str">
        <x:v>—</x:v>
      </x:c>
      <x:c r="N22" s="11" t="str">
        <x:v>https://www.servicenow.com/platform/otto.html</x:v>
      </x:c>
    </x:row>
    <x:row r="23" ht="45" customHeight="1">
      <x:c r="A23" s="6" t="str">
        <x:v>T18</x:v>
      </x:c>
      <x:c r="B23" s="6" t="str">
        <x:v>Zendesk AI</x:v>
      </x:c>
      <x:c r="C23" s="6" t="str">
        <x:v>Servicio al cliente</x:v>
      </x:c>
      <x:c r="D23" s="13" t="str">
        <x:v>—</x:v>
      </x:c>
      <x:c r="E23" s="13" t="str">
        <x:v>D</x:v>
      </x:c>
      <x:c r="F23" s="13" t="str">
        <x:v>I</x:v>
      </x:c>
      <x:c r="G23" s="13" t="str">
        <x:v>I</x:v>
      </x:c>
      <x:c r="H23" s="13" t="str">
        <x:v>—</x:v>
      </x:c>
      <x:c r="I23" s="13" t="str">
        <x:v>D</x:v>
      </x:c>
      <x:c r="J23" s="13" t="str">
        <x:v>—</x:v>
      </x:c>
      <x:c r="K23" s="13" t="str">
        <x:v>—</x:v>
      </x:c>
      <x:c r="L23" s="13" t="str">
        <x:v>—</x:v>
      </x:c>
      <x:c r="M23" s="13" t="str">
        <x:v>—</x:v>
      </x:c>
      <x:c r="N23" s="6" t="str">
        <x:v>https://www.zendesk.com/service/ai/</x:v>
      </x:c>
    </x:row>
    <x:row r="24" ht="45" customHeight="1">
      <x:c r="A24" s="11" t="str">
        <x:v>T19</x:v>
      </x:c>
      <x:c r="B24" s="11" t="str">
        <x:v>Fin de Intercom</x:v>
      </x:c>
      <x:c r="C24" s="11" t="str">
        <x:v>Servicio al cliente</x:v>
      </x:c>
      <x:c r="D24" s="12" t="str">
        <x:v>—</x:v>
      </x:c>
      <x:c r="E24" s="12" t="str">
        <x:v>D</x:v>
      </x:c>
      <x:c r="F24" s="12" t="str">
        <x:v>I</x:v>
      </x:c>
      <x:c r="G24" s="12" t="str">
        <x:v>—</x:v>
      </x:c>
      <x:c r="H24" s="12" t="str">
        <x:v>—</x:v>
      </x:c>
      <x:c r="I24" s="12" t="str">
        <x:v>D</x:v>
      </x:c>
      <x:c r="J24" s="12" t="str">
        <x:v>—</x:v>
      </x:c>
      <x:c r="K24" s="12" t="str">
        <x:v>—</x:v>
      </x:c>
      <x:c r="L24" s="12" t="str">
        <x:v>—</x:v>
      </x:c>
      <x:c r="M24" s="12" t="str">
        <x:v>—</x:v>
      </x:c>
      <x:c r="N24" s="11" t="str">
        <x:v>https://fin.ai/</x:v>
      </x:c>
    </x:row>
    <x:row r="25" ht="45" customHeight="1">
      <x:c r="A25" s="6" t="str">
        <x:v>T20</x:v>
      </x:c>
      <x:c r="B25" s="6" t="str">
        <x:v>Genesys Cloud CX AI</x:v>
      </x:c>
      <x:c r="C25" s="6" t="str">
        <x:v>Centro de contacto</x:v>
      </x:c>
      <x:c r="D25" s="13" t="str">
        <x:v>—</x:v>
      </x:c>
      <x:c r="E25" s="13" t="str">
        <x:v>D</x:v>
      </x:c>
      <x:c r="F25" s="13" t="str">
        <x:v>I</x:v>
      </x:c>
      <x:c r="G25" s="13" t="str">
        <x:v>I</x:v>
      </x:c>
      <x:c r="H25" s="13" t="str">
        <x:v>—</x:v>
      </x:c>
      <x:c r="I25" s="13" t="str">
        <x:v>D</x:v>
      </x:c>
      <x:c r="J25" s="13" t="str">
        <x:v>D</x:v>
      </x:c>
      <x:c r="K25" s="13" t="str">
        <x:v>—</x:v>
      </x:c>
      <x:c r="L25" s="13" t="str">
        <x:v>—</x:v>
      </x:c>
      <x:c r="M25" s="13" t="str">
        <x:v>—</x:v>
      </x:c>
      <x:c r="N25" s="6" t="str">
        <x:v>https://www.genesys.com/capabilities/ai-and-automation</x:v>
      </x:c>
    </x:row>
    <x:row r="26" ht="45" customHeight="1">
      <x:c r="A26" s="11" t="str">
        <x:v>T21</x:v>
      </x:c>
      <x:c r="B26" s="11" t="str">
        <x:v>Power BI Copilot</x:v>
      </x:c>
      <x:c r="C26" s="11" t="str">
        <x:v>BI</x:v>
      </x:c>
      <x:c r="D26" s="12" t="str">
        <x:v>—</x:v>
      </x:c>
      <x:c r="E26" s="12" t="str">
        <x:v>—</x:v>
      </x:c>
      <x:c r="F26" s="12" t="str">
        <x:v>D</x:v>
      </x:c>
      <x:c r="G26" s="12" t="str">
        <x:v>D</x:v>
      </x:c>
      <x:c r="H26" s="12" t="str">
        <x:v>I</x:v>
      </x:c>
      <x:c r="I26" s="12" t="str">
        <x:v>—</x:v>
      </x:c>
      <x:c r="J26" s="12" t="str">
        <x:v>—</x:v>
      </x:c>
      <x:c r="K26" s="12" t="str">
        <x:v>—</x:v>
      </x:c>
      <x:c r="L26" s="12" t="str">
        <x:v>—</x:v>
      </x:c>
      <x:c r="M26" s="12" t="str">
        <x:v>—</x:v>
      </x:c>
      <x:c r="N26" s="11" t="str">
        <x:v>https://learn.microsoft.com/en-us/power-bi/create-reports/copilot-introduction</x:v>
      </x:c>
    </x:row>
    <x:row r="27" ht="45" customHeight="1">
      <x:c r="A27" s="6" t="str">
        <x:v>T22</x:v>
      </x:c>
      <x:c r="B27" s="6" t="str">
        <x:v>Tableau Agent y Pulse</x:v>
      </x:c>
      <x:c r="C27" s="6" t="str">
        <x:v>BI</x:v>
      </x:c>
      <x:c r="D27" s="13" t="str">
        <x:v>—</x:v>
      </x:c>
      <x:c r="E27" s="13" t="str">
        <x:v>—</x:v>
      </x:c>
      <x:c r="F27" s="13" t="str">
        <x:v>D</x:v>
      </x:c>
      <x:c r="G27" s="13" t="str">
        <x:v>D</x:v>
      </x:c>
      <x:c r="H27" s="13" t="str">
        <x:v>I</x:v>
      </x:c>
      <x:c r="I27" s="13" t="str">
        <x:v>—</x:v>
      </x:c>
      <x:c r="J27" s="13" t="str">
        <x:v>—</x:v>
      </x:c>
      <x:c r="K27" s="13" t="str">
        <x:v>—</x:v>
      </x:c>
      <x:c r="L27" s="13" t="str">
        <x:v>—</x:v>
      </x:c>
      <x:c r="M27" s="13" t="str">
        <x:v>—</x:v>
      </x:c>
      <x:c r="N27" s="6" t="str">
        <x:v>https://help.tableau.com/current/online/en-us/web_author_einstein_faq.htm</x:v>
      </x:c>
    </x:row>
    <x:row r="28" ht="45" customHeight="1">
      <x:c r="A28" s="11" t="str">
        <x:v>T23</x:v>
      </x:c>
      <x:c r="B28" s="11" t="str">
        <x:v>Snowflake Cortex Analyst</x:v>
      </x:c>
      <x:c r="C28" s="11" t="str">
        <x:v>Analítica conversacional</x:v>
      </x:c>
      <x:c r="D28" s="12" t="str">
        <x:v>—</x:v>
      </x:c>
      <x:c r="E28" s="12" t="str">
        <x:v>—</x:v>
      </x:c>
      <x:c r="F28" s="12" t="str">
        <x:v>D</x:v>
      </x:c>
      <x:c r="G28" s="12" t="str">
        <x:v>D</x:v>
      </x:c>
      <x:c r="H28" s="12" t="str">
        <x:v>I</x:v>
      </x:c>
      <x:c r="I28" s="12" t="str">
        <x:v>—</x:v>
      </x:c>
      <x:c r="J28" s="12" t="str">
        <x:v>—</x:v>
      </x:c>
      <x:c r="K28" s="12" t="str">
        <x:v>—</x:v>
      </x:c>
      <x:c r="L28" s="12" t="str">
        <x:v>—</x:v>
      </x:c>
      <x:c r="M28" s="12" t="str">
        <x:v>—</x:v>
      </x:c>
      <x:c r="N28" s="11" t="str">
        <x:v>https://docs.snowflake.com/en/user-guide/snowflake-cortex/cortex-analyst</x:v>
      </x:c>
    </x:row>
    <x:row r="29" ht="45" customHeight="1">
      <x:c r="A29" s="6" t="str">
        <x:v>T24</x:v>
      </x:c>
      <x:c r="B29" s="6" t="str">
        <x:v>Databricks Genie</x:v>
      </x:c>
      <x:c r="C29" s="6" t="str">
        <x:v>Analítica conversacional</x:v>
      </x:c>
      <x:c r="D29" s="13" t="str">
        <x:v>—</x:v>
      </x:c>
      <x:c r="E29" s="13" t="str">
        <x:v>—</x:v>
      </x:c>
      <x:c r="F29" s="13" t="str">
        <x:v>D</x:v>
      </x:c>
      <x:c r="G29" s="13" t="str">
        <x:v>D</x:v>
      </x:c>
      <x:c r="H29" s="13" t="str">
        <x:v>I</x:v>
      </x:c>
      <x:c r="I29" s="13" t="str">
        <x:v>I</x:v>
      </x:c>
      <x:c r="J29" s="13" t="str">
        <x:v>—</x:v>
      </x:c>
      <x:c r="K29" s="13" t="str">
        <x:v>D</x:v>
      </x:c>
      <x:c r="L29" s="13" t="str">
        <x:v>—</x:v>
      </x:c>
      <x:c r="M29" s="13" t="str">
        <x:v>—</x:v>
      </x:c>
      <x:c r="N29" s="6" t="str">
        <x:v>https://docs.databricks.com/aws/en/genie</x:v>
      </x:c>
    </x:row>
    <x:row r="30" ht="45" customHeight="1">
      <x:c r="A30" s="11" t="str">
        <x:v>T25</x:v>
      </x:c>
      <x:c r="B30" s="11" t="str">
        <x:v>Dataiku</x:v>
      </x:c>
      <x:c r="C30" s="11" t="str">
        <x:v>Analítica y ML</x:v>
      </x:c>
      <x:c r="D30" s="12" t="str">
        <x:v>—</x:v>
      </x:c>
      <x:c r="E30" s="12" t="str">
        <x:v>—</x:v>
      </x:c>
      <x:c r="F30" s="12" t="str">
        <x:v>D</x:v>
      </x:c>
      <x:c r="G30" s="12" t="str">
        <x:v>I</x:v>
      </x:c>
      <x:c r="H30" s="12" t="str">
        <x:v>D</x:v>
      </x:c>
      <x:c r="I30" s="12" t="str">
        <x:v>D</x:v>
      </x:c>
      <x:c r="J30" s="12" t="str">
        <x:v>—</x:v>
      </x:c>
      <x:c r="K30" s="12" t="str">
        <x:v>D</x:v>
      </x:c>
      <x:c r="L30" s="12" t="str">
        <x:v>I</x:v>
      </x:c>
      <x:c r="M30" s="12" t="str">
        <x:v>D</x:v>
      </x:c>
      <x:c r="N30" s="11" t="str">
        <x:v>https://www.dataiku.com/product</x:v>
      </x:c>
    </x:row>
    <x:row r="31" ht="45" customHeight="1">
      <x:c r="A31" s="6" t="str">
        <x:v>T26</x:v>
      </x:c>
      <x:c r="B31" s="6" t="str">
        <x:v>DataRobot</x:v>
      </x:c>
      <x:c r="C31" s="6" t="str">
        <x:v>Plataforma de IA</x:v>
      </x:c>
      <x:c r="D31" s="13" t="str">
        <x:v>—</x:v>
      </x:c>
      <x:c r="E31" s="13" t="str">
        <x:v>—</x:v>
      </x:c>
      <x:c r="F31" s="13" t="str">
        <x:v>I</x:v>
      </x:c>
      <x:c r="G31" s="13" t="str">
        <x:v>I</x:v>
      </x:c>
      <x:c r="H31" s="13" t="str">
        <x:v>D</x:v>
      </x:c>
      <x:c r="I31" s="13" t="str">
        <x:v>D</x:v>
      </x:c>
      <x:c r="J31" s="13" t="str">
        <x:v>—</x:v>
      </x:c>
      <x:c r="K31" s="13" t="str">
        <x:v>—</x:v>
      </x:c>
      <x:c r="L31" s="13" t="str">
        <x:v>I</x:v>
      </x:c>
      <x:c r="M31" s="13" t="str">
        <x:v>D</x:v>
      </x:c>
      <x:c r="N31" s="6" t="str">
        <x:v>https://www.datarobot.com/product/ai-platform/</x:v>
      </x:c>
    </x:row>
    <x:row r="32" ht="45" customHeight="1">
      <x:c r="A32" s="11" t="str">
        <x:v>T27</x:v>
      </x:c>
      <x:c r="B32" s="11" t="str">
        <x:v>Google Document AI</x:v>
      </x:c>
      <x:c r="C32" s="11" t="str">
        <x:v>Procesamiento documental</x:v>
      </x:c>
      <x:c r="D32" s="12" t="str">
        <x:v>—</x:v>
      </x:c>
      <x:c r="E32" s="12" t="str">
        <x:v>D</x:v>
      </x:c>
      <x:c r="F32" s="12" t="str">
        <x:v>I</x:v>
      </x:c>
      <x:c r="G32" s="12" t="str">
        <x:v>—</x:v>
      </x:c>
      <x:c r="H32" s="12" t="str">
        <x:v>—</x:v>
      </x:c>
      <x:c r="I32" s="12" t="str">
        <x:v>I</x:v>
      </x:c>
      <x:c r="J32" s="12" t="str">
        <x:v>—</x:v>
      </x:c>
      <x:c r="K32" s="12" t="str">
        <x:v>—</x:v>
      </x:c>
      <x:c r="L32" s="12" t="str">
        <x:v>—</x:v>
      </x:c>
      <x:c r="M32" s="12" t="str">
        <x:v>—</x:v>
      </x:c>
      <x:c r="N32" s="11" t="str">
        <x:v>https://cloud.google.com/document-ai</x:v>
      </x:c>
    </x:row>
    <x:row r="33" ht="45" customHeight="1">
      <x:c r="A33" s="6" t="str">
        <x:v>T28</x:v>
      </x:c>
      <x:c r="B33" s="6" t="str">
        <x:v>Azure Document Intelligence</x:v>
      </x:c>
      <x:c r="C33" s="6" t="str">
        <x:v>Procesamiento documental</x:v>
      </x:c>
      <x:c r="D33" s="13" t="str">
        <x:v>—</x:v>
      </x:c>
      <x:c r="E33" s="13" t="str">
        <x:v>D</x:v>
      </x:c>
      <x:c r="F33" s="13" t="str">
        <x:v>I</x:v>
      </x:c>
      <x:c r="G33" s="13" t="str">
        <x:v>—</x:v>
      </x:c>
      <x:c r="H33" s="13" t="str">
        <x:v>—</x:v>
      </x:c>
      <x:c r="I33" s="13" t="str">
        <x:v>I</x:v>
      </x:c>
      <x:c r="J33" s="13" t="str">
        <x:v>—</x:v>
      </x:c>
      <x:c r="K33" s="13" t="str">
        <x:v>—</x:v>
      </x:c>
      <x:c r="L33" s="13" t="str">
        <x:v>—</x:v>
      </x:c>
      <x:c r="M33" s="13" t="str">
        <x:v>—</x:v>
      </x:c>
      <x:c r="N33" s="6" t="str">
        <x:v>https://learn.microsoft.com/en-us/azure/ai-services/document-intelligence/overview</x:v>
      </x:c>
    </x:row>
    <x:row r="34" ht="45" customHeight="1">
      <x:c r="A34" s="11" t="str">
        <x:v>T29</x:v>
      </x:c>
      <x:c r="B34" s="11" t="str">
        <x:v>Amazon Textract</x:v>
      </x:c>
      <x:c r="C34" s="11" t="str">
        <x:v>Procesamiento documental</x:v>
      </x:c>
      <x:c r="D34" s="12" t="str">
        <x:v>—</x:v>
      </x:c>
      <x:c r="E34" s="12" t="str">
        <x:v>D</x:v>
      </x:c>
      <x:c r="F34" s="12" t="str">
        <x:v>I</x:v>
      </x:c>
      <x:c r="G34" s="12" t="str">
        <x:v>—</x:v>
      </x:c>
      <x:c r="H34" s="12" t="str">
        <x:v>—</x:v>
      </x:c>
      <x:c r="I34" s="12" t="str">
        <x:v>I</x:v>
      </x:c>
      <x:c r="J34" s="12" t="str">
        <x:v>—</x:v>
      </x:c>
      <x:c r="K34" s="12" t="str">
        <x:v>—</x:v>
      </x:c>
      <x:c r="L34" s="12" t="str">
        <x:v>—</x:v>
      </x:c>
      <x:c r="M34" s="12" t="str">
        <x:v>—</x:v>
      </x:c>
      <x:c r="N34" s="11" t="str">
        <x:v>https://aws.amazon.com/textract/</x:v>
      </x:c>
    </x:row>
    <x:row r="35" ht="45" customHeight="1">
      <x:c r="A35" s="6" t="str">
        <x:v>T30</x:v>
      </x:c>
      <x:c r="B35" s="6" t="str">
        <x:v>ABBYY Vantage</x:v>
      </x:c>
      <x:c r="C35" s="6" t="str">
        <x:v>Procesamiento documental</x:v>
      </x:c>
      <x:c r="D35" s="13" t="str">
        <x:v>—</x:v>
      </x:c>
      <x:c r="E35" s="13" t="str">
        <x:v>D</x:v>
      </x:c>
      <x:c r="F35" s="13" t="str">
        <x:v>I</x:v>
      </x:c>
      <x:c r="G35" s="13" t="str">
        <x:v>—</x:v>
      </x:c>
      <x:c r="H35" s="13" t="str">
        <x:v>—</x:v>
      </x:c>
      <x:c r="I35" s="13" t="str">
        <x:v>D</x:v>
      </x:c>
      <x:c r="J35" s="13" t="str">
        <x:v>—</x:v>
      </x:c>
      <x:c r="K35" s="13" t="str">
        <x:v>—</x:v>
      </x:c>
      <x:c r="L35" s="13" t="str">
        <x:v>—</x:v>
      </x:c>
      <x:c r="M35" s="13" t="str">
        <x:v>—</x:v>
      </x:c>
      <x:c r="N35" s="6" t="str">
        <x:v>https://www.abbyy.com/vantage/</x:v>
      </x:c>
    </x:row>
    <x:row r="36" ht="45" customHeight="1">
      <x:c r="A36" s="11" t="str">
        <x:v>T31</x:v>
      </x:c>
      <x:c r="B36" s="11" t="str">
        <x:v>Adobe Firefly</x:v>
      </x:c>
      <x:c r="C36" s="11" t="str">
        <x:v>Contenido visual</x:v>
      </x:c>
      <x:c r="D36" s="12" t="str">
        <x:v>—</x:v>
      </x:c>
      <x:c r="E36" s="12" t="str">
        <x:v>I</x:v>
      </x:c>
      <x:c r="F36" s="12" t="str">
        <x:v>—</x:v>
      </x:c>
      <x:c r="G36" s="12" t="str">
        <x:v>—</x:v>
      </x:c>
      <x:c r="H36" s="12" t="str">
        <x:v>—</x:v>
      </x:c>
      <x:c r="I36" s="12" t="str">
        <x:v>I</x:v>
      </x:c>
      <x:c r="J36" s="12" t="str">
        <x:v>D</x:v>
      </x:c>
      <x:c r="K36" s="12" t="str">
        <x:v>—</x:v>
      </x:c>
      <x:c r="L36" s="12" t="str">
        <x:v>—</x:v>
      </x:c>
      <x:c r="M36" s="12" t="str">
        <x:v>—</x:v>
      </x:c>
      <x:c r="N36" s="11" t="str">
        <x:v>https://www.adobe.com/products/firefly.html</x:v>
      </x:c>
    </x:row>
    <x:row r="37" ht="45" customHeight="1">
      <x:c r="A37" s="6" t="str">
        <x:v>T32</x:v>
      </x:c>
      <x:c r="B37" s="6" t="str">
        <x:v>Canva AI</x:v>
      </x:c>
      <x:c r="C37" s="6" t="str">
        <x:v>Diseño y comunicación</x:v>
      </x:c>
      <x:c r="D37" s="13" t="str">
        <x:v>—</x:v>
      </x:c>
      <x:c r="E37" s="13" t="str">
        <x:v>D</x:v>
      </x:c>
      <x:c r="F37" s="13" t="str">
        <x:v>I</x:v>
      </x:c>
      <x:c r="G37" s="13" t="str">
        <x:v>—</x:v>
      </x:c>
      <x:c r="H37" s="13" t="str">
        <x:v>—</x:v>
      </x:c>
      <x:c r="I37" s="13" t="str">
        <x:v>I</x:v>
      </x:c>
      <x:c r="J37" s="13" t="str">
        <x:v>D</x:v>
      </x:c>
      <x:c r="K37" s="13" t="str">
        <x:v>—</x:v>
      </x:c>
      <x:c r="L37" s="13" t="str">
        <x:v>—</x:v>
      </x:c>
      <x:c r="M37" s="13" t="str">
        <x:v>—</x:v>
      </x:c>
      <x:c r="N37" s="6" t="str">
        <x:v>https://www.canva.com/canva-ai/</x:v>
      </x:c>
    </x:row>
    <x:row r="38" ht="45" customHeight="1">
      <x:c r="A38" s="11" t="str">
        <x:v>T33</x:v>
      </x:c>
      <x:c r="B38" s="11" t="str">
        <x:v>Synthesia</x:v>
      </x:c>
      <x:c r="C38" s="11" t="str">
        <x:v>Video empresarial</x:v>
      </x:c>
      <x:c r="D38" s="12" t="str">
        <x:v>—</x:v>
      </x:c>
      <x:c r="E38" s="12" t="str">
        <x:v>I</x:v>
      </x:c>
      <x:c r="F38" s="12" t="str">
        <x:v>—</x:v>
      </x:c>
      <x:c r="G38" s="12" t="str">
        <x:v>—</x:v>
      </x:c>
      <x:c r="H38" s="12" t="str">
        <x:v>—</x:v>
      </x:c>
      <x:c r="I38" s="12" t="str">
        <x:v>I</x:v>
      </x:c>
      <x:c r="J38" s="12" t="str">
        <x:v>D</x:v>
      </x:c>
      <x:c r="K38" s="12" t="str">
        <x:v>—</x:v>
      </x:c>
      <x:c r="L38" s="12" t="str">
        <x:v>—</x:v>
      </x:c>
      <x:c r="M38" s="12" t="str">
        <x:v>—</x:v>
      </x:c>
      <x:c r="N38" s="11" t="str">
        <x:v>https://www.synthesia.io/</x:v>
      </x:c>
    </x:row>
    <x:row r="39" ht="45" customHeight="1">
      <x:c r="A39" s="6" t="str">
        <x:v>T34</x:v>
      </x:c>
      <x:c r="B39" s="6" t="str">
        <x:v>ElevenLabs Agents</x:v>
      </x:c>
      <x:c r="C39" s="6" t="str">
        <x:v>Voz y agentes</x:v>
      </x:c>
      <x:c r="D39" s="13" t="str">
        <x:v>—</x:v>
      </x:c>
      <x:c r="E39" s="13" t="str">
        <x:v>I</x:v>
      </x:c>
      <x:c r="F39" s="13" t="str">
        <x:v>I</x:v>
      </x:c>
      <x:c r="G39" s="13" t="str">
        <x:v>—</x:v>
      </x:c>
      <x:c r="H39" s="13" t="str">
        <x:v>—</x:v>
      </x:c>
      <x:c r="I39" s="13" t="str">
        <x:v>D</x:v>
      </x:c>
      <x:c r="J39" s="13" t="str">
        <x:v>D</x:v>
      </x:c>
      <x:c r="K39" s="13" t="str">
        <x:v>—</x:v>
      </x:c>
      <x:c r="L39" s="13" t="str">
        <x:v>—</x:v>
      </x:c>
      <x:c r="M39" s="13" t="str">
        <x:v>—</x:v>
      </x:c>
      <x:c r="N39" s="6" t="str">
        <x:v>https://elevenlabs.io/agents</x:v>
      </x:c>
    </x:row>
    <x:row r="40" ht="45" customHeight="1">
      <x:c r="A40" s="11" t="str">
        <x:v>T35</x:v>
      </x:c>
      <x:c r="B40" s="11" t="str">
        <x:v>Microsoft Foundry</x:v>
      </x:c>
      <x:c r="C40" s="11" t="str">
        <x:v>Plataforma de implementación</x:v>
      </x:c>
      <x:c r="D40" s="12" t="str">
        <x:v>—</x:v>
      </x:c>
      <x:c r="E40" s="12" t="str">
        <x:v>I</x:v>
      </x:c>
      <x:c r="F40" s="12" t="str">
        <x:v>I</x:v>
      </x:c>
      <x:c r="G40" s="12" t="str">
        <x:v>I</x:v>
      </x:c>
      <x:c r="H40" s="12" t="str">
        <x:v>I</x:v>
      </x:c>
      <x:c r="I40" s="12" t="str">
        <x:v>D</x:v>
      </x:c>
      <x:c r="J40" s="12" t="str">
        <x:v>I</x:v>
      </x:c>
      <x:c r="K40" s="12" t="str">
        <x:v>I</x:v>
      </x:c>
      <x:c r="L40" s="12" t="str">
        <x:v>I</x:v>
      </x:c>
      <x:c r="M40" s="12" t="str">
        <x:v>D</x:v>
      </x:c>
      <x:c r="N40" s="11" t="str">
        <x:v>https://learn.microsoft.com/en-us/azure/foundry/what-is-foundry</x:v>
      </x:c>
    </x:row>
    <x:row r="41" ht="45" customHeight="1">
      <x:c r="A41" s="6" t="str">
        <x:v>T36</x:v>
      </x:c>
      <x:c r="B41" s="6" t="str">
        <x:v>Gemini Enterprise Agent Platform antes Vertex AI</x:v>
      </x:c>
      <x:c r="C41" s="6" t="str">
        <x:v>Plataforma de implementación</x:v>
      </x:c>
      <x:c r="D41" s="13" t="str">
        <x:v>—</x:v>
      </x:c>
      <x:c r="E41" s="13" t="str">
        <x:v>I</x:v>
      </x:c>
      <x:c r="F41" s="13" t="str">
        <x:v>I</x:v>
      </x:c>
      <x:c r="G41" s="13" t="str">
        <x:v>I</x:v>
      </x:c>
      <x:c r="H41" s="13" t="str">
        <x:v>D</x:v>
      </x:c>
      <x:c r="I41" s="13" t="str">
        <x:v>D</x:v>
      </x:c>
      <x:c r="J41" s="13" t="str">
        <x:v>I</x:v>
      </x:c>
      <x:c r="K41" s="13" t="str">
        <x:v>D</x:v>
      </x:c>
      <x:c r="L41" s="13" t="str">
        <x:v>I</x:v>
      </x:c>
      <x:c r="M41" s="13" t="str">
        <x:v>D</x:v>
      </x:c>
      <x:c r="N41" s="6" t="str">
        <x:v>https://cloud.google.com/products/gemini-enterprise-agent-platform</x:v>
      </x:c>
    </x:row>
    <x:row r="42" ht="45" customHeight="1">
      <x:c r="A42" s="11" t="str">
        <x:v>T37</x:v>
      </x:c>
      <x:c r="B42" s="11" t="str">
        <x:v>Amazon Bedrock</x:v>
      </x:c>
      <x:c r="C42" s="11" t="str">
        <x:v>Plataforma de implementación</x:v>
      </x:c>
      <x:c r="D42" s="12" t="str">
        <x:v>—</x:v>
      </x:c>
      <x:c r="E42" s="12" t="str">
        <x:v>I</x:v>
      </x:c>
      <x:c r="F42" s="12" t="str">
        <x:v>I</x:v>
      </x:c>
      <x:c r="G42" s="12" t="str">
        <x:v>I</x:v>
      </x:c>
      <x:c r="H42" s="12" t="str">
        <x:v>I</x:v>
      </x:c>
      <x:c r="I42" s="12" t="str">
        <x:v>D</x:v>
      </x:c>
      <x:c r="J42" s="12" t="str">
        <x:v>I</x:v>
      </x:c>
      <x:c r="K42" s="12" t="str">
        <x:v>I</x:v>
      </x:c>
      <x:c r="L42" s="12" t="str">
        <x:v>I</x:v>
      </x:c>
      <x:c r="M42" s="12" t="str">
        <x:v>D</x:v>
      </x:c>
      <x:c r="N42" s="11" t="str">
        <x:v>https://aws.amazon.com/bedrock/</x:v>
      </x:c>
    </x:row>
    <x:row r="43" ht="45" customHeight="1">
      <x:c r="A43" s="6" t="str">
        <x:v>T38</x:v>
      </x:c>
      <x:c r="B43" s="6" t="str">
        <x:v>IBM watsonx.ai</x:v>
      </x:c>
      <x:c r="C43" s="6" t="str">
        <x:v>Plataforma de implementación</x:v>
      </x:c>
      <x:c r="D43" s="13" t="str">
        <x:v>—</x:v>
      </x:c>
      <x:c r="E43" s="13" t="str">
        <x:v>I</x:v>
      </x:c>
      <x:c r="F43" s="13" t="str">
        <x:v>I</x:v>
      </x:c>
      <x:c r="G43" s="13" t="str">
        <x:v>I</x:v>
      </x:c>
      <x:c r="H43" s="13" t="str">
        <x:v>D</x:v>
      </x:c>
      <x:c r="I43" s="13" t="str">
        <x:v>D</x:v>
      </x:c>
      <x:c r="J43" s="13" t="str">
        <x:v>I</x:v>
      </x:c>
      <x:c r="K43" s="13" t="str">
        <x:v>I</x:v>
      </x:c>
      <x:c r="L43" s="13" t="str">
        <x:v>I</x:v>
      </x:c>
      <x:c r="M43" s="13" t="str">
        <x:v>—</x:v>
      </x:c>
      <x:c r="N43" s="6" t="str">
        <x:v>https://www.ibm.com/products/watsonx-ai</x:v>
      </x:c>
    </x:row>
    <x:row r="44" ht="45" customHeight="1">
      <x:c r="A44" s="11" t="str">
        <x:v>T39</x:v>
      </x:c>
      <x:c r="B44" s="11" t="str">
        <x:v>Hugging Face Inference Endpoints</x:v>
      </x:c>
      <x:c r="C44" s="11" t="str">
        <x:v>Inferencia de modelos</x:v>
      </x:c>
      <x:c r="D44" s="12" t="str">
        <x:v>—</x:v>
      </x:c>
      <x:c r="E44" s="12" t="str">
        <x:v>I</x:v>
      </x:c>
      <x:c r="F44" s="12" t="str">
        <x:v>I</x:v>
      </x:c>
      <x:c r="G44" s="12" t="str">
        <x:v>—</x:v>
      </x:c>
      <x:c r="H44" s="12" t="str">
        <x:v>I</x:v>
      </x:c>
      <x:c r="I44" s="12" t="str">
        <x:v>I</x:v>
      </x:c>
      <x:c r="J44" s="12" t="str">
        <x:v>I</x:v>
      </x:c>
      <x:c r="K44" s="12" t="str">
        <x:v>I</x:v>
      </x:c>
      <x:c r="L44" s="12" t="str">
        <x:v>I</x:v>
      </x:c>
      <x:c r="M44" s="12" t="str">
        <x:v>—</x:v>
      </x:c>
      <x:c r="N44" s="11" t="str">
        <x:v>https://huggingface.co/docs/inference-endpoints/index</x:v>
      </x:c>
    </x:row>
    <x:row r="45" ht="45" customHeight="1">
      <x:c r="A45" s="6" t="str">
        <x:v>T40</x:v>
      </x:c>
      <x:c r="B45" s="6" t="str">
        <x:v>Ollama</x:v>
      </x:c>
      <x:c r="C45" s="6" t="str">
        <x:v>Modelos locales y cloud</x:v>
      </x:c>
      <x:c r="D45" s="13" t="str">
        <x:v>—</x:v>
      </x:c>
      <x:c r="E45" s="13" t="str">
        <x:v>I</x:v>
      </x:c>
      <x:c r="F45" s="13" t="str">
        <x:v>I</x:v>
      </x:c>
      <x:c r="G45" s="13" t="str">
        <x:v>—</x:v>
      </x:c>
      <x:c r="H45" s="13" t="str">
        <x:v>I</x:v>
      </x:c>
      <x:c r="I45" s="13" t="str">
        <x:v>I</x:v>
      </x:c>
      <x:c r="J45" s="13" t="str">
        <x:v>I</x:v>
      </x:c>
      <x:c r="K45" s="13" t="str">
        <x:v>I</x:v>
      </x:c>
      <x:c r="L45" s="13" t="str">
        <x:v>I</x:v>
      </x:c>
      <x:c r="M45" s="13" t="str">
        <x:v>—</x:v>
      </x:c>
      <x:c r="N45" s="6" t="str">
        <x:v>https://docs.ollama.com/</x:v>
      </x:c>
    </x:row>
    <x:row r="46" ht="45" customHeight="1">
      <x:c r="A46" s="11" t="str">
        <x:v>T41</x:v>
      </x:c>
      <x:c r="B46" s="11" t="str">
        <x:v>Harvey</x:v>
      </x:c>
      <x:c r="C46" s="11" t="str">
        <x:v>Jurídico y profesional</x:v>
      </x:c>
      <x:c r="D46" s="12" t="str">
        <x:v>D</x:v>
      </x:c>
      <x:c r="E46" s="12" t="str">
        <x:v>D</x:v>
      </x:c>
      <x:c r="F46" s="12" t="str">
        <x:v>I</x:v>
      </x:c>
      <x:c r="G46" s="12" t="str">
        <x:v>—</x:v>
      </x:c>
      <x:c r="H46" s="12" t="str">
        <x:v>—</x:v>
      </x:c>
      <x:c r="I46" s="12" t="str">
        <x:v>D</x:v>
      </x:c>
      <x:c r="J46" s="12" t="str">
        <x:v>—</x:v>
      </x:c>
      <x:c r="K46" s="12" t="str">
        <x:v>—</x:v>
      </x:c>
      <x:c r="L46" s="12" t="str">
        <x:v>D</x:v>
      </x:c>
      <x:c r="M46" s="12" t="str">
        <x:v>—</x:v>
      </x:c>
      <x:c r="N46" s="11" t="str">
        <x:v>https://www.harvey.ai/</x:v>
      </x:c>
    </x:row>
    <x:row r="47" ht="45" customHeight="1">
      <x:c r="A47" s="6" t="str">
        <x:v>T42</x:v>
      </x:c>
      <x:c r="B47" s="6" t="str">
        <x:v>Microsoft Dragon Copilot</x:v>
      </x:c>
      <x:c r="C47" s="6" t="str">
        <x:v>Salud</x:v>
      </x:c>
      <x:c r="D47" s="13" t="str">
        <x:v>—</x:v>
      </x:c>
      <x:c r="E47" s="13" t="str">
        <x:v>D</x:v>
      </x:c>
      <x:c r="F47" s="13" t="str">
        <x:v>—</x:v>
      </x:c>
      <x:c r="G47" s="13" t="str">
        <x:v>—</x:v>
      </x:c>
      <x:c r="H47" s="13" t="str">
        <x:v>—</x:v>
      </x:c>
      <x:c r="I47" s="13" t="str">
        <x:v>I</x:v>
      </x:c>
      <x:c r="J47" s="13" t="str">
        <x:v>D</x:v>
      </x:c>
      <x:c r="K47" s="13" t="str">
        <x:v>—</x:v>
      </x:c>
      <x:c r="L47" s="13" t="str">
        <x:v>D</x:v>
      </x:c>
      <x:c r="M47" s="13" t="str">
        <x:v>—</x:v>
      </x:c>
      <x:c r="N47" s="6" t="str">
        <x:v>https://www.microsoft.com/en-us/health-solutions/clinical-workflow/dragon-copilot</x:v>
      </x:c>
    </x:row>
    <x:row r="48" ht="45" customHeight="1">
      <x:c r="A48" s="11" t="str">
        <x:v>T43</x:v>
      </x:c>
      <x:c r="B48" s="11" t="str">
        <x:v>John Deere See and Spray</x:v>
      </x:c>
      <x:c r="C48" s="11" t="str">
        <x:v>Agricultura</x:v>
      </x:c>
      <x:c r="D48" s="12" t="str">
        <x:v>—</x:v>
      </x:c>
      <x:c r="E48" s="12" t="str">
        <x:v>—</x:v>
      </x:c>
      <x:c r="F48" s="12" t="str">
        <x:v>—</x:v>
      </x:c>
      <x:c r="G48" s="12" t="str">
        <x:v>—</x:v>
      </x:c>
      <x:c r="H48" s="12" t="str">
        <x:v>I</x:v>
      </x:c>
      <x:c r="I48" s="12" t="str">
        <x:v>—</x:v>
      </x:c>
      <x:c r="J48" s="12" t="str">
        <x:v>—</x:v>
      </x:c>
      <x:c r="K48" s="12" t="str">
        <x:v>—</x:v>
      </x:c>
      <x:c r="L48" s="12" t="str">
        <x:v>D</x:v>
      </x:c>
      <x:c r="M48" s="12" t="str">
        <x:v>—</x:v>
      </x:c>
      <x:c r="N48" s="11" t="str">
        <x:v>https://www.deere.com/en-us/products-solutions/sprayers-and-applicators/see-spray</x:v>
      </x:c>
    </x:row>
    <x:row r="49" ht="45" customHeight="1">
      <x:c r="A49" s="6" t="str">
        <x:v>T44</x:v>
      </x:c>
      <x:c r="B49" s="6" t="str">
        <x:v>Autodesk Forma AI</x:v>
      </x:c>
      <x:c r="C49" s="6" t="str">
        <x:v>Construcción y diseño</x:v>
      </x:c>
      <x:c r="D49" s="13" t="str">
        <x:v>—</x:v>
      </x:c>
      <x:c r="E49" s="13" t="str">
        <x:v>D</x:v>
      </x:c>
      <x:c r="F49" s="13" t="str">
        <x:v>I</x:v>
      </x:c>
      <x:c r="G49" s="13" t="str">
        <x:v>I</x:v>
      </x:c>
      <x:c r="H49" s="13" t="str">
        <x:v>—</x:v>
      </x:c>
      <x:c r="I49" s="13" t="str">
        <x:v>I</x:v>
      </x:c>
      <x:c r="J49" s="13" t="str">
        <x:v>—</x:v>
      </x:c>
      <x:c r="K49" s="13" t="str">
        <x:v>—</x:v>
      </x:c>
      <x:c r="L49" s="13" t="str">
        <x:v>D</x:v>
      </x:c>
      <x:c r="M49" s="13" t="str">
        <x:v>—</x:v>
      </x:c>
      <x:c r="N49" s="6" t="str">
        <x:v>https://www.autodesk.com/solutions/aec/construction-ai-software</x:v>
      </x:c>
    </x:row>
    <x:row r="50" ht="45" customHeight="1">
      <x:c r="A50" s="11" t="str">
        <x:v>T45</x:v>
      </x:c>
      <x:c r="B50" s="11" t="str">
        <x:v>Langfuse</x:v>
      </x:c>
      <x:c r="C50" s="11" t="str">
        <x:v>Observabilidad y evaluación</x:v>
      </x:c>
      <x:c r="D50" s="12" t="str">
        <x:v>—</x:v>
      </x:c>
      <x:c r="E50" s="12" t="str">
        <x:v>—</x:v>
      </x:c>
      <x:c r="F50" s="12" t="str">
        <x:v>I</x:v>
      </x:c>
      <x:c r="G50" s="12" t="str">
        <x:v>—</x:v>
      </x:c>
      <x:c r="H50" s="12" t="str">
        <x:v>—</x:v>
      </x:c>
      <x:c r="I50" s="12" t="str">
        <x:v>—</x:v>
      </x:c>
      <x:c r="J50" s="12" t="str">
        <x:v>—</x:v>
      </x:c>
      <x:c r="K50" s="12" t="str">
        <x:v>—</x:v>
      </x:c>
      <x:c r="L50" s="12" t="str">
        <x:v>—</x:v>
      </x:c>
      <x:c r="M50" s="12" t="str">
        <x:v>D</x:v>
      </x:c>
      <x:c r="N50" s="11" t="str">
        <x:v>https://langfuse.com/docs</x:v>
      </x:c>
    </x:row>
    <x:row r="51" ht="45" customHeight="1">
      <x:c r="A51" s="6" t="str">
        <x:v>T46</x:v>
      </x:c>
      <x:c r="B51" s="6" t="str">
        <x:v>Arize Phoenix</x:v>
      </x:c>
      <x:c r="C51" s="6" t="str">
        <x:v>Observabilidad y evaluación</x:v>
      </x:c>
      <x:c r="D51" s="13" t="str">
        <x:v>—</x:v>
      </x:c>
      <x:c r="E51" s="13" t="str">
        <x:v>—</x:v>
      </x:c>
      <x:c r="F51" s="13" t="str">
        <x:v>I</x:v>
      </x:c>
      <x:c r="G51" s="13" t="str">
        <x:v>—</x:v>
      </x:c>
      <x:c r="H51" s="13" t="str">
        <x:v>—</x:v>
      </x:c>
      <x:c r="I51" s="13" t="str">
        <x:v>—</x:v>
      </x:c>
      <x:c r="J51" s="13" t="str">
        <x:v>—</x:v>
      </x:c>
      <x:c r="K51" s="13" t="str">
        <x:v>—</x:v>
      </x:c>
      <x:c r="L51" s="13" t="str">
        <x:v>—</x:v>
      </x:c>
      <x:c r="M51" s="13" t="str">
        <x:v>D</x:v>
      </x:c>
      <x:c r="N51" s="6" t="str">
        <x:v>https://arize.com/docs/phoenix</x:v>
      </x:c>
    </x:row>
    <x:row r="52" ht="45" customHeight="1">
      <x:c r="A52" s="11" t="str">
        <x:v>T47</x:v>
      </x:c>
      <x:c r="B52" s="11" t="str">
        <x:v>IBM watsonx.governance</x:v>
      </x:c>
      <x:c r="C52" s="11" t="str">
        <x:v>Gobierno de IA</x:v>
      </x:c>
      <x:c r="D52" s="12" t="str">
        <x:v>—</x:v>
      </x:c>
      <x:c r="E52" s="12" t="str">
        <x:v>—</x:v>
      </x:c>
      <x:c r="F52" s="12" t="str">
        <x:v>I</x:v>
      </x:c>
      <x:c r="G52" s="12" t="str">
        <x:v>—</x:v>
      </x:c>
      <x:c r="H52" s="12" t="str">
        <x:v>—</x:v>
      </x:c>
      <x:c r="I52" s="12" t="str">
        <x:v>I</x:v>
      </x:c>
      <x:c r="J52" s="12" t="str">
        <x:v>—</x:v>
      </x:c>
      <x:c r="K52" s="12" t="str">
        <x:v>—</x:v>
      </x:c>
      <x:c r="L52" s="12" t="str">
        <x:v>—</x:v>
      </x:c>
      <x:c r="M52" s="12" t="str">
        <x:v>D</x:v>
      </x:c>
      <x:c r="N52" s="11" t="str">
        <x:v>https://www.ibm.com/products/watsonx-governance</x:v>
      </x:c>
    </x:row>
    <x:row r="53" ht="45" customHeight="1">
      <x:c r="A53" s="6" t="str">
        <x:v>T48</x:v>
      </x:c>
      <x:c r="B53" s="6" t="str">
        <x:v>Claude Code</x:v>
      </x:c>
      <x:c r="C53" s="6" t="str">
        <x:v>Desarrollo</x:v>
      </x:c>
      <x:c r="D53" s="13" t="str">
        <x:v>—</x:v>
      </x:c>
      <x:c r="E53" s="13" t="str">
        <x:v>I</x:v>
      </x:c>
      <x:c r="F53" s="13" t="str">
        <x:v>I</x:v>
      </x:c>
      <x:c r="G53" s="13" t="str">
        <x:v>—</x:v>
      </x:c>
      <x:c r="H53" s="13" t="str">
        <x:v>I</x:v>
      </x:c>
      <x:c r="I53" s="13" t="str">
        <x:v>I</x:v>
      </x:c>
      <x:c r="J53" s="13" t="str">
        <x:v>—</x:v>
      </x:c>
      <x:c r="K53" s="13" t="str">
        <x:v>D</x:v>
      </x:c>
      <x:c r="L53" s="13" t="str">
        <x:v>—</x:v>
      </x:c>
      <x:c r="M53" s="13" t="str">
        <x:v>—</x:v>
      </x:c>
      <x:c r="N53" s="6" t="str">
        <x:v>https://code.claude.com/docs/en/overview</x:v>
      </x:c>
    </x:row>
    <x:row r="54" ht="45" customHeight="1">
      <x:c r="A54" s="11" t="str">
        <x:v>T49</x:v>
      </x:c>
      <x:c r="B54" s="11" t="str">
        <x:v>GitHub Copilot cloud agent</x:v>
      </x:c>
      <x:c r="C54" s="11" t="str">
        <x:v>Desarrollo</x:v>
      </x:c>
      <x:c r="D54" s="12" t="str">
        <x:v>—</x:v>
      </x:c>
      <x:c r="E54" s="12" t="str">
        <x:v>—</x:v>
      </x:c>
      <x:c r="F54" s="12" t="str">
        <x:v>I</x:v>
      </x:c>
      <x:c r="G54" s="12" t="str">
        <x:v>—</x:v>
      </x:c>
      <x:c r="H54" s="12" t="str">
        <x:v>—</x:v>
      </x:c>
      <x:c r="I54" s="12" t="str">
        <x:v>I</x:v>
      </x:c>
      <x:c r="J54" s="12" t="str">
        <x:v>—</x:v>
      </x:c>
      <x:c r="K54" s="12" t="str">
        <x:v>D</x:v>
      </x:c>
      <x:c r="L54" s="12" t="str">
        <x:v>—</x:v>
      </x:c>
      <x:c r="M54" s="12" t="str">
        <x:v>—</x:v>
      </x:c>
      <x:c r="N54" s="11" t="str">
        <x:v>https://docs.github.com/en/copilot/concepts/agents/cloud-agent/about-cloud-agent</x:v>
      </x:c>
    </x:row>
    <x:row r="55" ht="45" customHeight="1">
      <x:c r="A55" s="6" t="str">
        <x:v>T50</x:v>
      </x:c>
      <x:c r="B55" s="6" t="str">
        <x:v>Codex</x:v>
      </x:c>
      <x:c r="C55" s="6" t="str">
        <x:v>Desarrollo y trabajo con datos</x:v>
      </x:c>
      <x:c r="D55" s="13" t="str">
        <x:v>—</x:v>
      </x:c>
      <x:c r="E55" s="13" t="str">
        <x:v>I</x:v>
      </x:c>
      <x:c r="F55" s="13" t="str">
        <x:v>D</x:v>
      </x:c>
      <x:c r="G55" s="13" t="str">
        <x:v>I</x:v>
      </x:c>
      <x:c r="H55" s="13" t="str">
        <x:v>I</x:v>
      </x:c>
      <x:c r="I55" s="13" t="str">
        <x:v>I</x:v>
      </x:c>
      <x:c r="J55" s="13" t="str">
        <x:v>—</x:v>
      </x:c>
      <x:c r="K55" s="13" t="str">
        <x:v>D</x:v>
      </x:c>
      <x:c r="L55" s="13" t="str">
        <x:v>—</x:v>
      </x:c>
      <x:c r="M55" s="13" t="str">
        <x:v>—</x:v>
      </x:c>
      <x:c r="N55" s="6" t="str">
        <x:v>https://developers.openai.com/codex/use-cases</x:v>
      </x:c>
    </x:row>
    <x:row r="56" ht="45" customHeight="1">
      <x:c r="A56" s="11" t="str">
        <x:v>T51</x:v>
      </x:c>
      <x:c r="B56" s="11" t="str">
        <x:v>Microsoft 365 Copilot</x:v>
      </x:c>
      <x:c r="C56" s="11" t="str">
        <x:v>Suite de productividad</x:v>
      </x:c>
      <x:c r="D56" s="12" t="str">
        <x:v>I</x:v>
      </x:c>
      <x:c r="E56" s="12" t="str">
        <x:v>D</x:v>
      </x:c>
      <x:c r="F56" s="12" t="str">
        <x:v>D</x:v>
      </x:c>
      <x:c r="G56" s="12" t="str">
        <x:v>I</x:v>
      </x:c>
      <x:c r="H56" s="12" t="str">
        <x:v>—</x:v>
      </x:c>
      <x:c r="I56" s="12" t="str">
        <x:v>I</x:v>
      </x:c>
      <x:c r="J56" s="12" t="str">
        <x:v>—</x:v>
      </x:c>
      <x:c r="K56" s="12" t="str">
        <x:v>—</x:v>
      </x:c>
      <x:c r="L56" s="12" t="str">
        <x:v>—</x:v>
      </x:c>
      <x:c r="M56" s="12" t="str">
        <x:v>—</x:v>
      </x:c>
      <x:c r="N56" s="11" t="str">
        <x:v>https://www.microsoft.com/en-us/copilot/solutions/business</x:v>
      </x:c>
    </x:row>
  </x:sheetData>
  <x:conditionalFormatting sqref="D6:M56">
    <x:cfRule type="containsText" dxfId="0" priority="1" operator="containsText" text="D"/>
    <x:cfRule type="containsText" dxfId="1" priority="2" operator="containsText" text="I"/>
  </x:conditionalFormatting>
  <x:pageMargins left="0.7" right="0.7" top="0.75" bottom="0.75" header="0.3" footer="0.3"/>
  <x:tableParts count="1">
    <x:tablePart xmlns:r="http://schemas.openxmlformats.org/officeDocument/2006/relationships" r:id="R95e53c493d1143c2"/>
  </x:tableParts>
</x:worksheet>
</file>

<file path=xl/worksheets/sheet2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6" hidden="0" customWidth="1"/>
    <x:col min="3" max="3" width="28" hidden="0" customWidth="1"/>
    <x:col min="4" max="4" width="28" hidden="0" customWidth="1"/>
    <x:col min="5" max="5" width="52" hidden="0" customWidth="1"/>
    <x:col min="6" max="6" width="46" hidden="0" customWidth="1"/>
    <x:col min="7" max="7" width="43" hidden="0" customWidth="1"/>
    <x:col min="8" max="8" width="46" hidden="0" customWidth="1"/>
    <x:col min="9" max="9" width="55" hidden="0" customWidth="1"/>
    <x:col min="10" max="10" width="4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Aplicaciones de IA por industria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 t="str">
        <x:v>48 aplicaciones propuestas en 12 industrias. La adecuación de cada candidato requiere una prueba local.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46" customHeight="1">
      <x:c r="A5" s="10" t="str">
        <x:v>ID</x:v>
      </x:c>
      <x:c r="B5" s="10" t="str">
        <x:v>Industria</x:v>
      </x:c>
      <x:c r="C5" s="10" t="str">
        <x:v>Proceso</x:v>
      </x:c>
      <x:c r="D5" s="10" t="str">
        <x:v>Capacidad</x:v>
      </x:c>
      <x:c r="E5" s="10" t="str">
        <x:v>Candidatos a evaluar</x:v>
      </x:c>
      <x:c r="F5" s="10" t="str">
        <x:v>Datos necesarios</x:v>
      </x:c>
      <x:c r="G5" s="10" t="str">
        <x:v>Indicador</x:v>
      </x:c>
      <x:c r="H5" s="10" t="str">
        <x:v>Control principal</x:v>
      </x:c>
      <x:c r="I5" s="10" t="str">
        <x:v>Prueba de aceptación</x:v>
      </x:c>
      <x:c r="J5" s="10" t="str">
        <x:v>Naturaleza de evidencia</x:v>
      </x:c>
    </x:row>
    <x:row r="6" ht="105" customHeight="1">
      <x:c r="A6" s="11" t="str">
        <x:v>C01</x:v>
      </x:c>
      <x:c r="B6" s="11" t="str">
        <x:v>Manufactura</x:v>
      </x:c>
      <x:c r="C6" s="11" t="str">
        <x:v>Inspección de piezas</x:v>
      </x:c>
      <x:c r="D6" s="11" t="str">
        <x:v>Visión y clasificación</x:v>
      </x:c>
      <x:c r="E6" s="11" t="str">
        <x:v>Dataiku; DataRobot; Gemini Enterprise Agent Platform</x:v>
      </x:c>
      <x:c r="F6" s="11" t="str">
        <x:v>Imágenes etiquetadas por defecto, lote y cámara</x:v>
      </x:c>
      <x:c r="G6" s="11" t="str">
        <x:v>Defectos escapados y falsas alarmas por lote</x:v>
      </x:c>
      <x:c r="H6" s="11" t="str">
        <x:v>Ingeniería valida liberación de producto</x:v>
      </x:c>
      <x:c r="I6" s="11" t="str">
        <x:v>Probar lotes posteriores, otras cámaras y condiciones de iluminación</x:v>
      </x:c>
      <x:c r="J6" s="11" t="str">
        <x:v>Aplicación propuesta para evaluar; no despliegue ni resultado acreditado</x:v>
      </x:c>
    </x:row>
    <x:row r="7" ht="105" customHeight="1">
      <x:c r="A7" s="6" t="str">
        <x:v>C02</x:v>
      </x:c>
      <x:c r="B7" s="6" t="str">
        <x:v>Manufactura</x:v>
      </x:c>
      <x:c r="C7" s="6" t="str">
        <x:v>Mantenimiento</x:v>
      </x:c>
      <x:c r="D7" s="6" t="str">
        <x:v>Predicción y análisis de fallas</x:v>
      </x:c>
      <x:c r="E7" s="6" t="str">
        <x:v>Dataiku; DataRobot; IBM watsonx.ai</x:v>
      </x:c>
      <x:c r="F7" s="6" t="str">
        <x:v>Sensores, fallas, intervenciones y tiempos</x:v>
      </x:c>
      <x:c r="G7" s="6" t="str">
        <x:v>Paradas evitadas y falsas alertas</x:v>
      </x:c>
      <x:c r="H7" s="6" t="str">
        <x:v>Técnico decide intervención y parada</x:v>
      </x:c>
      <x:c r="I7" s="6" t="str">
        <x:v>Separar equipos y fechas de entrenamiento y prueba</x:v>
      </x:c>
      <x:c r="J7" s="6" t="str">
        <x:v>Aplicación propuesta para evaluar; no despliegue ni resultado acreditado</x:v>
      </x:c>
    </x:row>
    <x:row r="8" ht="105" customHeight="1">
      <x:c r="A8" s="11" t="str">
        <x:v>C03</x:v>
      </x:c>
      <x:c r="B8" s="11" t="str">
        <x:v>Manufactura</x:v>
      </x:c>
      <x:c r="C8" s="11" t="str">
        <x:v>Compras documentales</x:v>
      </x:c>
      <x:c r="D8" s="11" t="str">
        <x:v>Extracción y workflow</x:v>
      </x:c>
      <x:c r="E8" s="11" t="str">
        <x:v>ABBYY Vantage; Azure Document Intelligence; UiPath</x:v>
      </x:c>
      <x:c r="F8" s="11" t="str">
        <x:v>Órdenes, facturas, catálogo y reglas</x:v>
      </x:c>
      <x:c r="G8" s="11" t="str">
        <x:v>Costo por factura aceptada y errores de importe</x:v>
      </x:c>
      <x:c r="H8" s="11" t="str">
        <x:v>Conciliación y doble aprobación de pagos</x:v>
      </x:c>
      <x:c r="I8" s="11" t="str">
        <x:v>Rechazar duplicados, moneda incorrecta y proveedor no autorizado</x:v>
      </x:c>
      <x:c r="J8" s="11" t="str">
        <x:v>Aplicación propuesta para evaluar; no despliegue ni resultado acreditado</x:v>
      </x:c>
    </x:row>
    <x:row r="9" ht="105" customHeight="1">
      <x:c r="A9" s="6" t="str">
        <x:v>C04</x:v>
      </x:c>
      <x:c r="B9" s="6" t="str">
        <x:v>Manufactura</x:v>
      </x:c>
      <x:c r="C9" s="6" t="str">
        <x:v>Conocimiento de planta</x:v>
      </x:c>
      <x:c r="D9" s="6" t="str">
        <x:v>Recuperación de fuentes</x:v>
      </x:c>
      <x:c r="E9" s="6" t="str">
        <x:v>Glean; Gemini Notebook; Copilot Studio</x:v>
      </x:c>
      <x:c r="F9" s="6" t="str">
        <x:v>Manuales vigentes y permisos</x:v>
      </x:c>
      <x:c r="G9" s="6" t="str">
        <x:v>Respuestas sustentadas y tiempo de búsqueda</x:v>
      </x:c>
      <x:c r="H9" s="6" t="str">
        <x:v>Procedimientos críticos con validación del supervisor</x:v>
      </x:c>
      <x:c r="I9" s="6" t="str">
        <x:v>Abstenerse si no existe manual vigente o permiso</x:v>
      </x:c>
      <x:c r="J9" s="6" t="str">
        <x:v>Aplicación propuesta para evaluar; no despliegue ni resultado acreditado</x:v>
      </x:c>
    </x:row>
    <x:row r="10" ht="105" customHeight="1">
      <x:c r="A10" s="11" t="str">
        <x:v>C05</x:v>
      </x:c>
      <x:c r="B10" s="11" t="str">
        <x:v>Comercio y distribución</x:v>
      </x:c>
      <x:c r="C10" s="11" t="str">
        <x:v>Demanda e inventario</x:v>
      </x:c>
      <x:c r="D10" s="11" t="str">
        <x:v>Pronóstico y optimización</x:v>
      </x:c>
      <x:c r="E10" s="11" t="str">
        <x:v>Dataiku; DataRobot; SAP Joule</x:v>
      </x:c>
      <x:c r="F10" s="11" t="str">
        <x:v>Ventas, quiebres, precios, promociones y lead times</x:v>
      </x:c>
      <x:c r="G10" s="11" t="str">
        <x:v>Error de pronóstico y nivel de servicio</x:v>
      </x:c>
      <x:c r="H10" s="11" t="str">
        <x:v>Compras aprueba pedidos</x:v>
      </x:c>
      <x:c r="I10" s="11" t="str">
        <x:v>Comparar contra pronóstico estacional simple sin fuga temporal</x:v>
      </x:c>
      <x:c r="J10" s="11" t="str">
        <x:v>Aplicación propuesta para evaluar; no despliegue ni resultado acreditado</x:v>
      </x:c>
    </x:row>
    <x:row r="11" ht="105" customHeight="1">
      <x:c r="A11" s="6" t="str">
        <x:v>C06</x:v>
      </x:c>
      <x:c r="B11" s="6" t="str">
        <x:v>Comercio y distribución</x:v>
      </x:c>
      <x:c r="C11" s="6" t="str">
        <x:v>Cotización</x:v>
      </x:c>
      <x:c r="D11" s="6" t="str">
        <x:v>Generación con catálogo y reglas</x:v>
      </x:c>
      <x:c r="E11" s="6" t="str">
        <x:v>Claude; n8n; Copilot Studio</x:v>
      </x:c>
      <x:c r="F11" s="6" t="str">
        <x:v>Catálogo, existencias, precios y políticas</x:v>
      </x:c>
      <x:c r="G11" s="6" t="str">
        <x:v>Costo por cotización válida y margen</x:v>
      </x:c>
      <x:c r="H11" s="6" t="str">
        <x:v>Descuentos y compromisos sujetos a aprobación</x:v>
      </x:c>
      <x:c r="I11" s="6" t="str">
        <x:v>Verificar precio, moneda, stock y negativa a inventar producto</x:v>
      </x:c>
      <x:c r="J11" s="6" t="str">
        <x:v>Aplicación propuesta para evaluar; no despliegue ni resultado acreditado</x:v>
      </x:c>
    </x:row>
    <x:row r="12" ht="105" customHeight="1">
      <x:c r="A12" s="11" t="str">
        <x:v>C07</x:v>
      </x:c>
      <x:c r="B12" s="11" t="str">
        <x:v>Comercio y distribución</x:v>
      </x:c>
      <x:c r="C12" s="11" t="str">
        <x:v>Atención posventa</x:v>
      </x:c>
      <x:c r="D12" s="11" t="str">
        <x:v>Agentes de soporte</x:v>
      </x:c>
      <x:c r="E12" s="11" t="str">
        <x:v>Zendesk AI; Fin; Agentforce</x:v>
      </x:c>
      <x:c r="F12" s="11" t="str">
        <x:v>Pedidos, políticas y tickets</x:v>
      </x:c>
      <x:c r="G12" s="11" t="str">
        <x:v>Resolución aceptada, reapertura y satisfacción</x:v>
      </x:c>
      <x:c r="H12" s="11" t="str">
        <x:v>Excepciones y devoluciones de alto valor a humano</x:v>
      </x:c>
      <x:c r="I12" s="11" t="str">
        <x:v>Probar cliente equivocado, política vencida y reclamo repetido</x:v>
      </x:c>
      <x:c r="J12" s="11" t="str">
        <x:v>Aplicación propuesta para evaluar; no despliegue ni resultado acreditado</x:v>
      </x:c>
    </x:row>
    <x:row r="13" ht="105" customHeight="1">
      <x:c r="A13" s="6" t="str">
        <x:v>C08</x:v>
      </x:c>
      <x:c r="B13" s="6" t="str">
        <x:v>Comercio y distribución</x:v>
      </x:c>
      <x:c r="C13" s="6" t="str">
        <x:v>Contenido comercial</x:v>
      </x:c>
      <x:c r="D13" s="6" t="str">
        <x:v>Generación y diseño</x:v>
      </x:c>
      <x:c r="E13" s="6" t="str">
        <x:v>Adobe Firefly; Canva AI; Gemini Workspace</x:v>
      </x:c>
      <x:c r="F13" s="6" t="str">
        <x:v>Catálogo y recursos de marca autorizados</x:v>
      </x:c>
      <x:c r="G13" s="6" t="str">
        <x:v>Costo por pieza aprobada y conversión comprobada</x:v>
      </x:c>
      <x:c r="H13" s="6" t="str">
        <x:v>Revisión de atributos y derechos</x:v>
      </x:c>
      <x:c r="I13" s="6" t="str">
        <x:v>Detectar producto o promoción inventados antes de publicar</x:v>
      </x:c>
      <x:c r="J13" s="6" t="str">
        <x:v>Aplicación propuesta para evaluar; no despliegue ni resultado acreditado</x:v>
      </x:c>
    </x:row>
    <x:row r="14" ht="105" customHeight="1">
      <x:c r="A14" s="11" t="str">
        <x:v>C09</x:v>
      </x:c>
      <x:c r="B14" s="11" t="str">
        <x:v>Logística y movilidad</x:v>
      </x:c>
      <x:c r="C14" s="11" t="str">
        <x:v>Tiempo de llegada</x:v>
      </x:c>
      <x:c r="D14" s="11" t="str">
        <x:v>Regresión y pronóstico</x:v>
      </x:c>
      <x:c r="E14" s="11" t="str">
        <x:v>Dataiku; DataRobot; IBM watsonx.ai</x:v>
      </x:c>
      <x:c r="F14" s="11" t="str">
        <x:v>Rutas, tráfico, viajes y tiempos reales</x:v>
      </x:c>
      <x:c r="G14" s="11" t="str">
        <x:v>Error de ETA y entregas puntuales</x:v>
      </x:c>
      <x:c r="H14" s="11" t="str">
        <x:v>Despacho conserva decisión</x:v>
      </x:c>
      <x:c r="I14" s="11" t="str">
        <x:v>Probar rutas y periodos nuevos frente a baseline</x:v>
      </x:c>
      <x:c r="J14" s="11" t="str">
        <x:v>Aplicación propuesta para evaluar; no despliegue ni resultado acreditado</x:v>
      </x:c>
    </x:row>
    <x:row r="15" ht="105" customHeight="1">
      <x:c r="A15" s="6" t="str">
        <x:v>C10</x:v>
      </x:c>
      <x:c r="B15" s="6" t="str">
        <x:v>Logística y movilidad</x:v>
      </x:c>
      <x:c r="C15" s="6" t="str">
        <x:v>Rutas y capacidad</x:v>
      </x:c>
      <x:c r="D15" s="6" t="str">
        <x:v>Optimización con restricciones</x:v>
      </x:c>
      <x:c r="E15" s="6" t="str">
        <x:v>IBM watsonx.ai; Gemini Enterprise Agent Platform</x:v>
      </x:c>
      <x:c r="F15" s="6" t="str">
        <x:v>Vehículos, ventanas, demanda y restricciones</x:v>
      </x:c>
      <x:c r="G15" s="6" t="str">
        <x:v>Costo por entrega con servicio cumplido</x:v>
      </x:c>
      <x:c r="H15" s="6" t="str">
        <x:v>Validar seguridad y capacidad</x:v>
      </x:c>
      <x:c r="I15" s="6" t="str">
        <x:v>Cumplir todas las restricciones; comparar con ruta actual</x:v>
      </x:c>
      <x:c r="J15" s="6" t="str">
        <x:v>Aplicación propuesta para evaluar; no despliegue ni resultado acreditado</x:v>
      </x:c>
    </x:row>
    <x:row r="16" ht="105" customHeight="1">
      <x:c r="A16" s="11" t="str">
        <x:v>C11</x:v>
      </x:c>
      <x:c r="B16" s="11" t="str">
        <x:v>Logística y movilidad</x:v>
      </x:c>
      <x:c r="C16" s="11" t="str">
        <x:v>Guías y comprobantes</x:v>
      </x:c>
      <x:c r="D16" s="11" t="str">
        <x:v>Extracción documental</x:v>
      </x:c>
      <x:c r="E16" s="11" t="str">
        <x:v>Google Document AI; Textract; n8n</x:v>
      </x:c>
      <x:c r="F16" s="11" t="str">
        <x:v>Guías, fotos, pedidos y prueba de entrega</x:v>
      </x:c>
      <x:c r="G16" s="11" t="str">
        <x:v>Costo por documento conciliado</x:v>
      </x:c>
      <x:c r="H16" s="11" t="str">
        <x:v>Validación por identificador y evidencias</x:v>
      </x:c>
      <x:c r="I16" s="11" t="str">
        <x:v>Detectar comprobantes duplicados y entrega no acreditada</x:v>
      </x:c>
      <x:c r="J16" s="11" t="str">
        <x:v>Aplicación propuesta para evaluar; no despliegue ni resultado acreditado</x:v>
      </x:c>
    </x:row>
    <x:row r="17" ht="105" customHeight="1">
      <x:c r="A17" s="6" t="str">
        <x:v>C12</x:v>
      </x:c>
      <x:c r="B17" s="6" t="str">
        <x:v>Logística y movilidad</x:v>
      </x:c>
      <x:c r="C17" s="6" t="str">
        <x:v>Consulta de estado</x:v>
      </x:c>
      <x:c r="D17" s="6" t="str">
        <x:v>Agente conectado</x:v>
      </x:c>
      <x:c r="E17" s="6" t="str">
        <x:v>Copilot Studio; Genesys AI; ElevenLabs Agents</x:v>
      </x:c>
      <x:c r="F17" s="6" t="str">
        <x:v>TMS y estados autorizados</x:v>
      </x:c>
      <x:c r="G17" s="6" t="str">
        <x:v>Consultas resueltas y costo por respuesta correcta</x:v>
      </x:c>
      <x:c r="H17" s="6" t="str">
        <x:v>Autenticar cliente y limitar datos</x:v>
      </x:c>
      <x:c r="I17" s="6" t="str">
        <x:v>No mostrar otra cuenta ni inventar localización</x:v>
      </x:c>
      <x:c r="J17" s="6" t="str">
        <x:v>Aplicación propuesta para evaluar; no despliegue ni resultado acreditado</x:v>
      </x:c>
    </x:row>
    <x:row r="18" ht="105" customHeight="1">
      <x:c r="A18" s="11" t="str">
        <x:v>C13</x:v>
      </x:c>
      <x:c r="B18" s="11" t="str">
        <x:v>Finanzas y seguros</x:v>
      </x:c>
      <x:c r="C18" s="11" t="str">
        <x:v>Expedientes</x:v>
      </x:c>
      <x:c r="D18" s="11" t="str">
        <x:v>Extracción y revisión</x:v>
      </x:c>
      <x:c r="E18" s="11" t="str">
        <x:v>Azure Document Intelligence; ABBYY; UiPath</x:v>
      </x:c>
      <x:c r="F18" s="11" t="str">
        <x:v>Formularios, soportes y reglas</x:v>
      </x:c>
      <x:c r="G18" s="11" t="str">
        <x:v>Tiempo y costo por expediente válido</x:v>
      </x:c>
      <x:c r="H18" s="11" t="str">
        <x:v>Acceso limitado y aprobación responsable</x:v>
      </x:c>
      <x:c r="I18" s="11" t="str">
        <x:v>Detectar inconsistencias, faltantes y falsos documentos</x:v>
      </x:c>
      <x:c r="J18" s="11" t="str">
        <x:v>Aplicación propuesta para evaluar; no despliegue ni resultado acreditado</x:v>
      </x:c>
    </x:row>
    <x:row r="19" ht="105" customHeight="1">
      <x:c r="A19" s="6" t="str">
        <x:v>C14</x:v>
      </x:c>
      <x:c r="B19" s="6" t="str">
        <x:v>Finanzas y seguros</x:v>
      </x:c>
      <x:c r="C19" s="6" t="str">
        <x:v>Fraude y anomalías</x:v>
      </x:c>
      <x:c r="D19" s="6" t="str">
        <x:v>Clasificación y detección</x:v>
      </x:c>
      <x:c r="E19" s="6" t="str">
        <x:v>DataRobot; Dataiku; IBM watsonx.ai</x:v>
      </x:c>
      <x:c r="F19" s="6" t="str">
        <x:v>Transacciones y casos investigados</x:v>
      </x:c>
      <x:c r="G19" s="6" t="str">
        <x:v>Precisión, recall y costo de falsos positivos</x:v>
      </x:c>
      <x:c r="H19" s="6" t="str">
        <x:v>Investigación humana de alertas</x:v>
      </x:c>
      <x:c r="I19" s="6" t="str">
        <x:v>Validar por tiempo y subgrupos; no usar alerta como acusación</x:v>
      </x:c>
      <x:c r="J19" s="6" t="str">
        <x:v>Aplicación propuesta para evaluar; no despliegue ni resultado acreditado</x:v>
      </x:c>
    </x:row>
    <x:row r="20" ht="105" customHeight="1">
      <x:c r="A20" s="11" t="str">
        <x:v>C15</x:v>
      </x:c>
      <x:c r="B20" s="11" t="str">
        <x:v>Finanzas y seguros</x:v>
      </x:c>
      <x:c r="C20" s="11" t="str">
        <x:v>Análisis de cartera</x:v>
      </x:c>
      <x:c r="D20" s="11" t="str">
        <x:v>BI y analítica</x:v>
      </x:c>
      <x:c r="E20" s="11" t="str">
        <x:v>Power BI; Snowflake Cortex Analyst; Databricks Genie</x:v>
      </x:c>
      <x:c r="F20" s="11" t="str">
        <x:v>Cartera, pagos y definiciones aprobadas</x:v>
      </x:c>
      <x:c r="G20" s="11" t="str">
        <x:v>Conciliación, morosidad y latencia</x:v>
      </x:c>
      <x:c r="H20" s="11" t="str">
        <x:v>Acceso por rol y definiciones contables</x:v>
      </x:c>
      <x:c r="I20" s="11" t="str">
        <x:v>SQL y totales coinciden con reporte de control</x:v>
      </x:c>
      <x:c r="J20" s="11" t="str">
        <x:v>Aplicación propuesta para evaluar; no despliegue ni resultado acreditado</x:v>
      </x:c>
    </x:row>
    <x:row r="21" ht="105" customHeight="1">
      <x:c r="A21" s="6" t="str">
        <x:v>C16</x:v>
      </x:c>
      <x:c r="B21" s="6" t="str">
        <x:v>Finanzas y seguros</x:v>
      </x:c>
      <x:c r="C21" s="6" t="str">
        <x:v>Asistencia de servicio</x:v>
      </x:c>
      <x:c r="D21" s="6" t="str">
        <x:v>Recuperación y agente</x:v>
      </x:c>
      <x:c r="E21" s="6" t="str">
        <x:v>Genesys AI; Agentforce; Copilot Studio</x:v>
      </x:c>
      <x:c r="F21" s="6" t="str">
        <x:v>Productos y políticas vigentes</x:v>
      </x:c>
      <x:c r="G21" s="6" t="str">
        <x:v>Resolución sustentada y reclamos</x:v>
      </x:c>
      <x:c r="H21" s="6" t="str">
        <x:v>No autorizar crédito ni prometer cobertura</x:v>
      </x:c>
      <x:c r="I21" s="6" t="str">
        <x:v>Escalar asesoría sensible y ambigüedad contractual</x:v>
      </x:c>
      <x:c r="J21" s="6" t="str">
        <x:v>Aplicación propuesta para evaluar; no despliegue ni resultado acreditado</x:v>
      </x:c>
    </x:row>
    <x:row r="22" ht="105" customHeight="1">
      <x:c r="A22" s="11" t="str">
        <x:v>C17</x:v>
      </x:c>
      <x:c r="B22" s="11" t="str">
        <x:v>Salud</x:v>
      </x:c>
      <x:c r="C22" s="11" t="str">
        <x:v>Notas de consulta</x:v>
      </x:c>
      <x:c r="D22" s="11" t="str">
        <x:v>Transcripción y estructuración</x:v>
      </x:c>
      <x:c r="E22" s="11" t="str">
        <x:v>Microsoft Dragon Copilot</x:v>
      </x:c>
      <x:c r="F22" s="11" t="str">
        <x:v>Conversaciones clínicas autorizadas y EHR</x:v>
      </x:c>
      <x:c r="G22" s="11" t="str">
        <x:v>Tiempo neto por nota y errores materiales</x:v>
      </x:c>
      <x:c r="H22" s="11" t="str">
        <x:v>Consentimiento y firma del clínico</x:v>
      </x:c>
      <x:c r="I22" s="11" t="str">
        <x:v>Probar idioma y especialidad; corregir medicación, dosis y negaciones</x:v>
      </x:c>
      <x:c r="J22" s="11" t="str">
        <x:v>Aplicación propuesta para evaluar; no despliegue ni resultado acreditado</x:v>
      </x:c>
    </x:row>
    <x:row r="23" ht="105" customHeight="1">
      <x:c r="A23" s="6" t="str">
        <x:v>C18</x:v>
      </x:c>
      <x:c r="B23" s="6" t="str">
        <x:v>Salud</x:v>
      </x:c>
      <x:c r="C23" s="6" t="str">
        <x:v>Operación y citas</x:v>
      </x:c>
      <x:c r="D23" s="6" t="str">
        <x:v>Analítica y pronóstico</x:v>
      </x:c>
      <x:c r="E23" s="6" t="str">
        <x:v>Power BI; Dataiku; Claude</x:v>
      </x:c>
      <x:c r="F23" s="6" t="str">
        <x:v>Citas, capacidad y ausencias sin identificación innecesaria</x:v>
      </x:c>
      <x:c r="G23" s="6" t="str">
        <x:v>Utilización, espera y ausencias</x:v>
      </x:c>
      <x:c r="H23" s="6" t="str">
        <x:v>Revisión de asignación y acceso</x:v>
      </x:c>
      <x:c r="I23" s="6" t="str">
        <x:v>Conciliar agenda y medir por tipo de servicio</x:v>
      </x:c>
      <x:c r="J23" s="6" t="str">
        <x:v>Aplicación propuesta para evaluar; no despliegue ni resultado acreditado</x:v>
      </x:c>
    </x:row>
    <x:row r="24" ht="105" customHeight="1">
      <x:c r="A24" s="11" t="str">
        <x:v>C19</x:v>
      </x:c>
      <x:c r="B24" s="11" t="str">
        <x:v>Salud</x:v>
      </x:c>
      <x:c r="C24" s="11" t="str">
        <x:v>Trámite administrativo</x:v>
      </x:c>
      <x:c r="D24" s="11" t="str">
        <x:v>Extracción y flujo</x:v>
      </x:c>
      <x:c r="E24" s="11" t="str">
        <x:v>Textract; Document AI; UiPath</x:v>
      </x:c>
      <x:c r="F24" s="11" t="str">
        <x:v>Formularios y soportes autorizados</x:v>
      </x:c>
      <x:c r="G24" s="11" t="str">
        <x:v>Costo por trámite válido y devoluciones</x:v>
      </x:c>
      <x:c r="H24" s="11" t="str">
        <x:v>Separar tarea administrativa de diagnóstico</x:v>
      </x:c>
      <x:c r="I24" s="11" t="str">
        <x:v>Validar cobertura y datos contra fuente sin decisión clínica automática</x:v>
      </x:c>
      <x:c r="J24" s="11" t="str">
        <x:v>Aplicación propuesta para evaluar; no despliegue ni resultado acreditado</x:v>
      </x:c>
    </x:row>
    <x:row r="25" ht="105" customHeight="1">
      <x:c r="A25" s="6" t="str">
        <x:v>C20</x:v>
      </x:c>
      <x:c r="B25" s="6" t="str">
        <x:v>Salud</x:v>
      </x:c>
      <x:c r="C25" s="6" t="str">
        <x:v>Conocimiento interno</x:v>
      </x:c>
      <x:c r="D25" s="6" t="str">
        <x:v>Búsqueda con fuentes</x:v>
      </x:c>
      <x:c r="E25" s="6" t="str">
        <x:v>Glean; Gemini Notebook; Copilot Studio</x:v>
      </x:c>
      <x:c r="F25" s="6" t="str">
        <x:v>Protocolos vigentes y ámbito de acceso</x:v>
      </x:c>
      <x:c r="G25" s="6" t="str">
        <x:v>Respuesta sustentada y tiempo de consulta</x:v>
      </x:c>
      <x:c r="H25" s="6" t="str">
        <x:v>Vigencia de protocolos y autoridad clínica</x:v>
      </x:c>
      <x:c r="I25" s="6" t="str">
        <x:v>Señalar ausencia y contradicción sin completar indicación clínica</x:v>
      </x:c>
      <x:c r="J25" s="6" t="str">
        <x:v>Aplicación propuesta para evaluar; no despliegue ni resultado acreditado</x:v>
      </x:c>
    </x:row>
    <x:row r="26" ht="105" customHeight="1">
      <x:c r="A26" s="11" t="str">
        <x:v>C21</x:v>
      </x:c>
      <x:c r="B26" s="11" t="str">
        <x:v>Educación</x:v>
      </x:c>
      <x:c r="C26" s="11" t="str">
        <x:v>Material didáctico</x:v>
      </x:c>
      <x:c r="D26" s="11" t="str">
        <x:v>Síntesis y producción</x:v>
      </x:c>
      <x:c r="E26" s="11" t="str">
        <x:v>Gemini Notebook; Claude; Synthesia</x:v>
      </x:c>
      <x:c r="F26" s="11" t="str">
        <x:v>Programa, fuentes y objetivos</x:v>
      </x:c>
      <x:c r="G26" s="11" t="str">
        <x:v>Exactitud y tiempo por material aprobado</x:v>
      </x:c>
      <x:c r="H26" s="11" t="str">
        <x:v>Docente revisa contenido y derechos</x:v>
      </x:c>
      <x:c r="I26" s="11" t="str">
        <x:v>Comprobar citas, adecuación al nivel y accesibilidad</x:v>
      </x:c>
      <x:c r="J26" s="11" t="str">
        <x:v>Aplicación propuesta para evaluar; no despliegue ni resultado acreditado</x:v>
      </x:c>
    </x:row>
    <x:row r="27" ht="105" customHeight="1">
      <x:c r="A27" s="6" t="str">
        <x:v>C22</x:v>
      </x:c>
      <x:c r="B27" s="6" t="str">
        <x:v>Educación</x:v>
      </x:c>
      <x:c r="C27" s="6" t="str">
        <x:v>Preguntas del alumno</x:v>
      </x:c>
      <x:c r="D27" s="6" t="str">
        <x:v>Asistencia con fuentes</x:v>
      </x:c>
      <x:c r="E27" s="6" t="str">
        <x:v>Copilot Studio; Gemini Notebook; Notion AI</x:v>
      </x:c>
      <x:c r="F27" s="6" t="str">
        <x:v>Material aprobado y preguntas</x:v>
      </x:c>
      <x:c r="G27" s="6" t="str">
        <x:v>Respuestas correctas y derivación apropiada</x:v>
      </x:c>
      <x:c r="H27" s="6" t="str">
        <x:v>Permisos y privacidad de alumnos</x:v>
      </x:c>
      <x:c r="I27" s="6" t="str">
        <x:v>No inventar notas, fechas, políticas ni acceso a otros alumnos</x:v>
      </x:c>
      <x:c r="J27" s="6" t="str">
        <x:v>Aplicación propuesta para evaluar; no despliegue ni resultado acreditado</x:v>
      </x:c>
    </x:row>
    <x:row r="28" ht="105" customHeight="1">
      <x:c r="A28" s="11" t="str">
        <x:v>C23</x:v>
      </x:c>
      <x:c r="B28" s="11" t="str">
        <x:v>Educación</x:v>
      </x:c>
      <x:c r="C28" s="11" t="str">
        <x:v>Seguimiento académico</x:v>
      </x:c>
      <x:c r="D28" s="11" t="str">
        <x:v>Analítica y modelos predictivos</x:v>
      </x:c>
      <x:c r="E28" s="11" t="str">
        <x:v>Dataiku; DataRobot; Power BI</x:v>
      </x:c>
      <x:c r="F28" s="11" t="str">
        <x:v>Participación y desempeño con autorización</x:v>
      </x:c>
      <x:c r="G28" s="11" t="str">
        <x:v>Calibración y utilidad de intervenciones</x:v>
      </x:c>
      <x:c r="H28" s="11" t="str">
        <x:v>Revisión de sesgo y decisión del docente</x:v>
      </x:c>
      <x:c r="I28" s="11" t="str">
        <x:v>Evaluar por cohorte; predicción no determina sanción ni causalidad</x:v>
      </x:c>
      <x:c r="J28" s="11" t="str">
        <x:v>Aplicación propuesta para evaluar; no despliegue ni resultado acreditado</x:v>
      </x:c>
    </x:row>
    <x:row r="29" ht="105" customHeight="1">
      <x:c r="A29" s="6" t="str">
        <x:v>C24</x:v>
      </x:c>
      <x:c r="B29" s="6" t="str">
        <x:v>Educación</x:v>
      </x:c>
      <x:c r="C29" s="6" t="str">
        <x:v>Gestión documental</x:v>
      </x:c>
      <x:c r="D29" s="6" t="str">
        <x:v>Extracción y flujo</x:v>
      </x:c>
      <x:c r="E29" s="6" t="str">
        <x:v>ABBYY; n8n; Gemini Workspace</x:v>
      </x:c>
      <x:c r="F29" s="6" t="str">
        <x:v>Solicitudes, formularios y registros</x:v>
      </x:c>
      <x:c r="G29" s="6" t="str">
        <x:v>Tiempo por trámite y errores</x:v>
      </x:c>
      <x:c r="H29" s="6" t="str">
        <x:v>Responsable valida actualización del expediente</x:v>
      </x:c>
      <x:c r="I29" s="6" t="str">
        <x:v>Detectar identidad incorrecta, documento duplicado y requisito ausente</x:v>
      </x:c>
      <x:c r="J29" s="6" t="str">
        <x:v>Aplicación propuesta para evaluar; no despliegue ni resultado acreditado</x:v>
      </x:c>
    </x:row>
    <x:row r="30" ht="105" customHeight="1">
      <x:c r="A30" s="11" t="str">
        <x:v>C25</x:v>
      </x:c>
      <x:c r="B30" s="11" t="str">
        <x:v>Servicios profesionales</x:v>
      </x:c>
      <x:c r="C30" s="11" t="str">
        <x:v>Investigación jurídica</x:v>
      </x:c>
      <x:c r="D30" s="11" t="str">
        <x:v>Investigación y análisis documental</x:v>
      </x:c>
      <x:c r="E30" s="11" t="str">
        <x:v>Harvey; Perplexity; Claude</x:v>
      </x:c>
      <x:c r="F30" s="11" t="str">
        <x:v>Fuentes jurídicas y documentos permitidos</x:v>
      </x:c>
      <x:c r="G30" s="11" t="str">
        <x:v>Citas válidas y tiempo neto de revisión</x:v>
      </x:c>
      <x:c r="H30" s="11" t="str">
        <x:v>Profesional valida jurisdicción y vigencia</x:v>
      </x:c>
      <x:c r="I30" s="11" t="str">
        <x:v>Rechazar autoridad inexistente y comprobar cada afirmación central</x:v>
      </x:c>
      <x:c r="J30" s="11" t="str">
        <x:v>Aplicación propuesta para evaluar; no despliegue ni resultado acreditado</x:v>
      </x:c>
    </x:row>
    <x:row r="31" ht="105" customHeight="1">
      <x:c r="A31" s="6" t="str">
        <x:v>C26</x:v>
      </x:c>
      <x:c r="B31" s="6" t="str">
        <x:v>Servicios profesionales</x:v>
      </x:c>
      <x:c r="C31" s="6" t="str">
        <x:v>Propuesta y licitación</x:v>
      </x:c>
      <x:c r="D31" s="6" t="str">
        <x:v>Síntesis de requisitos</x:v>
      </x:c>
      <x:c r="E31" s="6" t="str">
        <x:v>Claude; Gemini Notebook; Glean</x:v>
      </x:c>
      <x:c r="F31" s="6" t="str">
        <x:v>Bases, capacidades y evidencia del equipo</x:v>
      </x:c>
      <x:c r="G31" s="6" t="str">
        <x:v>Requisitos cumplidos y esfuerzo de preparación</x:v>
      </x:c>
      <x:c r="H31" s="6" t="str">
        <x:v>Aprobación de compromisos y confidencialidad</x:v>
      </x:c>
      <x:c r="I31" s="6" t="str">
        <x:v>Identificar requisito no cubierto y capacidad no acreditada</x:v>
      </x:c>
      <x:c r="J31" s="6" t="str">
        <x:v>Aplicación propuesta para evaluar; no despliegue ni resultado acreditado</x:v>
      </x:c>
    </x:row>
    <x:row r="32" ht="105" customHeight="1">
      <x:c r="A32" s="11" t="str">
        <x:v>C27</x:v>
      </x:c>
      <x:c r="B32" s="11" t="str">
        <x:v>Servicios profesionales</x:v>
      </x:c>
      <x:c r="C32" s="11" t="str">
        <x:v>Rentabilidad de proyectos</x:v>
      </x:c>
      <x:c r="D32" s="11" t="str">
        <x:v>Analítica tabular y BI</x:v>
      </x:c>
      <x:c r="E32" s="11" t="str">
        <x:v>Claude; Power BI; Tableau</x:v>
      </x:c>
      <x:c r="F32" s="11" t="str">
        <x:v>Horas, contratos, costos y facturación</x:v>
      </x:c>
      <x:c r="G32" s="11" t="str">
        <x:v>Margen por proyecto y horas no facturadas</x:v>
      </x:c>
      <x:c r="H32" s="11" t="str">
        <x:v>Definición consistente de margen</x:v>
      </x:c>
      <x:c r="I32" s="11" t="str">
        <x:v>Conciliar ingresos y costos sin confundir facturación con cobro</x:v>
      </x:c>
      <x:c r="J32" s="11" t="str">
        <x:v>Aplicación propuesta para evaluar; no despliegue ni resultado acreditado</x:v>
      </x:c>
    </x:row>
    <x:row r="33" ht="105" customHeight="1">
      <x:c r="A33" s="6" t="str">
        <x:v>C28</x:v>
      </x:c>
      <x:c r="B33" s="6" t="str">
        <x:v>Servicios profesionales</x:v>
      </x:c>
      <x:c r="C33" s="6" t="str">
        <x:v>Desarrollo de software</x:v>
      </x:c>
      <x:c r="D33" s="6" t="str">
        <x:v>Agentes de programación</x:v>
      </x:c>
      <x:c r="E33" s="6" t="str">
        <x:v>Claude Code; GitHub Copilot; Codex</x:v>
      </x:c>
      <x:c r="F33" s="6" t="str">
        <x:v>Repositorio, requisitos y pruebas</x:v>
      </x:c>
      <x:c r="G33" s="6" t="str">
        <x:v>Cambios aceptados, defectos y tiempo de ciclo</x:v>
      </x:c>
      <x:c r="H33" s="6" t="str">
        <x:v>Revisión de código, dependencias y secretos</x:v>
      </x:c>
      <x:c r="I33" s="6" t="str">
        <x:v>Pruebas funcionales y seguridad antes de integrar cambios</x:v>
      </x:c>
      <x:c r="J33" s="6" t="str">
        <x:v>Aplicación propuesta para evaluar; no despliegue ni resultado acreditado</x:v>
      </x:c>
    </x:row>
    <x:row r="34" ht="105" customHeight="1">
      <x:c r="A34" s="11" t="str">
        <x:v>C29</x:v>
      </x:c>
      <x:c r="B34" s="11" t="str">
        <x:v>Turismo y hospitalidad</x:v>
      </x:c>
      <x:c r="C34" s="11" t="str">
        <x:v>Reservas y consultas</x:v>
      </x:c>
      <x:c r="D34" s="11" t="str">
        <x:v>Agente por voz y texto</x:v>
      </x:c>
      <x:c r="E34" s="11" t="str">
        <x:v>Genesys AI; ElevenLabs Agents; Agentforce</x:v>
      </x:c>
      <x:c r="F34" s="11" t="str">
        <x:v>Disponibilidad, tarifas y políticas</x:v>
      </x:c>
      <x:c r="G34" s="11" t="str">
        <x:v>Reserva confirmada y resolución correcta</x:v>
      </x:c>
      <x:c r="H34" s="11" t="str">
        <x:v>Confirmar inventario y cobro en sistema</x:v>
      </x:c>
      <x:c r="I34" s="11" t="str">
        <x:v>No prometer habitación o precio fuera de la fuente vigente</x:v>
      </x:c>
      <x:c r="J34" s="11" t="str">
        <x:v>Aplicación propuesta para evaluar; no despliegue ni resultado acreditado</x:v>
      </x:c>
    </x:row>
    <x:row r="35" ht="105" customHeight="1">
      <x:c r="A35" s="6" t="str">
        <x:v>C30</x:v>
      </x:c>
      <x:c r="B35" s="6" t="str">
        <x:v>Turismo y hospitalidad</x:v>
      </x:c>
      <x:c r="C35" s="6" t="str">
        <x:v>Demanda y tarifas</x:v>
      </x:c>
      <x:c r="D35" s="6" t="str">
        <x:v>Pronóstico y recomendación</x:v>
      </x:c>
      <x:c r="E35" s="6" t="str">
        <x:v>Dataiku; DataRobot; Tableau</x:v>
      </x:c>
      <x:c r="F35" s="6" t="str">
        <x:v>Reservas, cancelaciones, temporada y capacidad</x:v>
      </x:c>
      <x:c r="G35" s="6" t="str">
        <x:v>Error de demanda y contribución por habitación</x:v>
      </x:c>
      <x:c r="H35" s="6" t="str">
        <x:v>Responsable aprueba precio y restricciones</x:v>
      </x:c>
      <x:c r="I35" s="6" t="str">
        <x:v>Validación temporal con eventos nuevos y baseline estacional</x:v>
      </x:c>
      <x:c r="J35" s="6" t="str">
        <x:v>Aplicación propuesta para evaluar; no despliegue ni resultado acreditado</x:v>
      </x:c>
    </x:row>
    <x:row r="36" ht="105" customHeight="1">
      <x:c r="A36" s="11" t="str">
        <x:v>C31</x:v>
      </x:c>
      <x:c r="B36" s="11" t="str">
        <x:v>Turismo y hospitalidad</x:v>
      </x:c>
      <x:c r="C36" s="11" t="str">
        <x:v>Experiencia del huésped</x:v>
      </x:c>
      <x:c r="D36" s="11" t="str">
        <x:v>Clasificación y análisis</x:v>
      </x:c>
      <x:c r="E36" s="11" t="str">
        <x:v>Claude; Power BI; Zendesk AI</x:v>
      </x:c>
      <x:c r="F36" s="11" t="str">
        <x:v>Reseñas y tickets autorizados</x:v>
      </x:c>
      <x:c r="G36" s="11" t="str">
        <x:v>Temas recurrentes y reclamos resueltos</x:v>
      </x:c>
      <x:c r="H36" s="11" t="str">
        <x:v>Anonimizar y comprobar muestra</x:v>
      </x:c>
      <x:c r="I36" s="11" t="str">
        <x:v>Validar clasificación manual y no confundir sentimiento con intención</x:v>
      </x:c>
      <x:c r="J36" s="11" t="str">
        <x:v>Aplicación propuesta para evaluar; no despliegue ni resultado acreditado</x:v>
      </x:c>
    </x:row>
    <x:row r="37" ht="105" customHeight="1">
      <x:c r="A37" s="6" t="str">
        <x:v>C32</x:v>
      </x:c>
      <x:c r="B37" s="6" t="str">
        <x:v>Turismo y hospitalidad</x:v>
      </x:c>
      <x:c r="C37" s="6" t="str">
        <x:v>Capacitación multilingüe</x:v>
      </x:c>
      <x:c r="D37" s="6" t="str">
        <x:v>Video y traducción</x:v>
      </x:c>
      <x:c r="E37" s="6" t="str">
        <x:v>Synthesia; Canva AI; Gemini Workspace</x:v>
      </x:c>
      <x:c r="F37" s="6" t="str">
        <x:v>Procedimientos y guiones aprobados</x:v>
      </x:c>
      <x:c r="G37" s="6" t="str">
        <x:v>Comprensión y costo por módulo aprobado</x:v>
      </x:c>
      <x:c r="H37" s="6" t="str">
        <x:v>Revisión de traducción y accesibilidad</x:v>
      </x:c>
      <x:c r="I37" s="6" t="str">
        <x:v>Probar instrucciones con personal y medir errores de comprensión</x:v>
      </x:c>
      <x:c r="J37" s="6" t="str">
        <x:v>Aplicación propuesta para evaluar; no despliegue ni resultado acreditado</x:v>
      </x:c>
    </x:row>
    <x:row r="38" ht="105" customHeight="1">
      <x:c r="A38" s="11" t="str">
        <x:v>C33</x:v>
      </x:c>
      <x:c r="B38" s="11" t="str">
        <x:v>Agro y alimentos</x:v>
      </x:c>
      <x:c r="C38" s="11" t="str">
        <x:v>Aplicación dirigida</x:v>
      </x:c>
      <x:c r="D38" s="11" t="str">
        <x:v>Visión en equipo físico</x:v>
      </x:c>
      <x:c r="E38" s="11" t="str">
        <x:v>John Deere See and Spray</x:v>
      </x:c>
      <x:c r="F38" s="11" t="str">
        <x:v>Cultivo, cámaras y equipo compatible</x:v>
      </x:c>
      <x:c r="G38" s="11" t="str">
        <x:v>Insumo por hectárea y resultado agronómico</x:v>
      </x:c>
      <x:c r="H38" s="11" t="str">
        <x:v>Operador y agrónomo validan condiciones</x:v>
      </x:c>
      <x:c r="I38" s="11" t="str">
        <x:v>Comparar parcelas y registrar clima, cultivo y daño</x:v>
      </x:c>
      <x:c r="J38" s="11" t="str">
        <x:v>Aplicación propuesta para evaluar; no despliegue ni resultado acreditado</x:v>
      </x:c>
    </x:row>
    <x:row r="39" ht="105" customHeight="1">
      <x:c r="A39" s="6" t="str">
        <x:v>C34</x:v>
      </x:c>
      <x:c r="B39" s="6" t="str">
        <x:v>Agro y alimentos</x:v>
      </x:c>
      <x:c r="C39" s="6" t="str">
        <x:v>Predicción de producción</x:v>
      </x:c>
      <x:c r="D39" s="6" t="str">
        <x:v>Pronóstico</x:v>
      </x:c>
      <x:c r="E39" s="6" t="str">
        <x:v>Dataiku; DataRobot; IBM watsonx.ai</x:v>
      </x:c>
      <x:c r="F39" s="6" t="str">
        <x:v>Clima, suelo, manejo y producción histórica</x:v>
      </x:c>
      <x:c r="G39" s="6" t="str">
        <x:v>Error por parcela y periodo</x:v>
      </x:c>
      <x:c r="H39" s="6" t="str">
        <x:v>Validación agronómica y datos locales</x:v>
      </x:c>
      <x:c r="I39" s="6" t="str">
        <x:v>Probar campaña posterior y diferencias geográficas</x:v>
      </x:c>
      <x:c r="J39" s="6" t="str">
        <x:v>Aplicación propuesta para evaluar; no despliegue ni resultado acreditado</x:v>
      </x:c>
    </x:row>
    <x:row r="40" ht="105" customHeight="1">
      <x:c r="A40" s="11" t="str">
        <x:v>C35</x:v>
      </x:c>
      <x:c r="B40" s="11" t="str">
        <x:v>Agro y alimentos</x:v>
      </x:c>
      <x:c r="C40" s="11" t="str">
        <x:v>Calidad y trazabilidad</x:v>
      </x:c>
      <x:c r="D40" s="11" t="str">
        <x:v>Visión y extracción</x:v>
      </x:c>
      <x:c r="E40" s="11" t="str">
        <x:v>Dataiku; Document AI; ABBYY</x:v>
      </x:c>
      <x:c r="F40" s="11" t="str">
        <x:v>Imágenes, lotes, certificados y pruebas</x:v>
      </x:c>
      <x:c r="G40" s="11" t="str">
        <x:v>Defectos no detectados y trazabilidad completa</x:v>
      </x:c>
      <x:c r="H40" s="11" t="str">
        <x:v>Responsable de calidad valida liberación</x:v>
      </x:c>
      <x:c r="I40" s="11" t="str">
        <x:v>Reconstruir lote y detectar certificado faltante o incompatible</x:v>
      </x:c>
      <x:c r="J40" s="11" t="str">
        <x:v>Aplicación propuesta para evaluar; no despliegue ni resultado acreditado</x:v>
      </x:c>
    </x:row>
    <x:row r="41" ht="105" customHeight="1">
      <x:c r="A41" s="6" t="str">
        <x:v>C36</x:v>
      </x:c>
      <x:c r="B41" s="6" t="str">
        <x:v>Agro y alimentos</x:v>
      </x:c>
      <x:c r="C41" s="6" t="str">
        <x:v>Compra y comercialización</x:v>
      </x:c>
      <x:c r="D41" s="6" t="str">
        <x:v>Analítica y flujo</x:v>
      </x:c>
      <x:c r="E41" s="6" t="str">
        <x:v>SAP Joule; Power BI; n8n</x:v>
      </x:c>
      <x:c r="F41" s="6" t="str">
        <x:v>Inventario, precios, contratos y demanda</x:v>
      </x:c>
      <x:c r="G41" s="6" t="str">
        <x:v>Merma, margen y nivel de servicio</x:v>
      </x:c>
      <x:c r="H41" s="6" t="str">
        <x:v>Revisión de compromisos y fechas</x:v>
      </x:c>
      <x:c r="I41" s="6" t="str">
        <x:v>Detectar caducidad, unidades incompatibles y demanda no confirmada</x:v>
      </x:c>
      <x:c r="J41" s="6" t="str">
        <x:v>Aplicación propuesta para evaluar; no despliegue ni resultado acreditado</x:v>
      </x:c>
    </x:row>
    <x:row r="42" ht="105" customHeight="1">
      <x:c r="A42" s="11" t="str">
        <x:v>C37</x:v>
      </x:c>
      <x:c r="B42" s="11" t="str">
        <x:v>Sector público</x:v>
      </x:c>
      <x:c r="C42" s="11" t="str">
        <x:v>Orientación de trámites</x:v>
      </x:c>
      <x:c r="D42" s="11" t="str">
        <x:v>Asistencia con fuentes</x:v>
      </x:c>
      <x:c r="E42" s="11" t="str">
        <x:v>Copilot Studio; Glean; Gemini Notebook</x:v>
      </x:c>
      <x:c r="F42" s="11" t="str">
        <x:v>Normativa y procedimientos vigentes</x:v>
      </x:c>
      <x:c r="G42" s="11" t="str">
        <x:v>Respuesta sustentada y derivación correcta</x:v>
      </x:c>
      <x:c r="H42" s="11" t="str">
        <x:v>Versiones, accesibilidad y revisión institucional</x:v>
      </x:c>
      <x:c r="I42" s="11" t="str">
        <x:v>No inventar requisitos, plazos ni resolución favorable</x:v>
      </x:c>
      <x:c r="J42" s="11" t="str">
        <x:v>Aplicación propuesta para evaluar; no despliegue ni resultado acreditado</x:v>
      </x:c>
    </x:row>
    <x:row r="43" ht="105" customHeight="1">
      <x:c r="A43" s="6" t="str">
        <x:v>C38</x:v>
      </x:c>
      <x:c r="B43" s="6" t="str">
        <x:v>Sector público</x:v>
      </x:c>
      <x:c r="C43" s="6" t="str">
        <x:v>Expedientes</x:v>
      </x:c>
      <x:c r="D43" s="6" t="str">
        <x:v>Extracción y clasificación</x:v>
      </x:c>
      <x:c r="E43" s="6" t="str">
        <x:v>ABBYY; Textract; UiPath</x:v>
      </x:c>
      <x:c r="F43" s="6" t="str">
        <x:v>Documentos autorizados y catálogo de trámites</x:v>
      </x:c>
      <x:c r="G43" s="6" t="str">
        <x:v>Costo por expediente válido y errores</x:v>
      </x:c>
      <x:c r="H43" s="6" t="str">
        <x:v>Acceso, trazabilidad y derecho a revisión</x:v>
      </x:c>
      <x:c r="I43" s="6" t="str">
        <x:v>Separar clasificación del otorgamiento de derechos</x:v>
      </x:c>
      <x:c r="J43" s="6" t="str">
        <x:v>Aplicación propuesta para evaluar; no despliegue ni resultado acreditado</x:v>
      </x:c>
    </x:row>
    <x:row r="44" ht="105" customHeight="1">
      <x:c r="A44" s="11" t="str">
        <x:v>C39</x:v>
      </x:c>
      <x:c r="B44" s="11" t="str">
        <x:v>Sector público</x:v>
      </x:c>
      <x:c r="C44" s="11" t="str">
        <x:v>Servicios urbanos</x:v>
      </x:c>
      <x:c r="D44" s="11" t="str">
        <x:v>Pronóstico y optimización</x:v>
      </x:c>
      <x:c r="E44" s="11" t="str">
        <x:v>Dataiku; IBM watsonx.ai; Databricks Genie</x:v>
      </x:c>
      <x:c r="F44" s="11" t="str">
        <x:v>Demanda, incidentes y capacidad geográfica</x:v>
      </x:c>
      <x:c r="G44" s="11" t="str">
        <x:v>Tiempo de respuesta y cobertura territorial</x:v>
      </x:c>
      <x:c r="H44" s="11" t="str">
        <x:v>Evaluar exclusión geográfica y calidad del dato</x:v>
      </x:c>
      <x:c r="I44" s="11" t="str">
        <x:v>Comparar barrios y periodos sin concluir causalidad por correlación</x:v>
      </x:c>
      <x:c r="J44" s="11" t="str">
        <x:v>Aplicación propuesta para evaluar; no despliegue ni resultado acreditado</x:v>
      </x:c>
    </x:row>
    <x:row r="45" ht="105" customHeight="1">
      <x:c r="A45" s="6" t="str">
        <x:v>C40</x:v>
      </x:c>
      <x:c r="B45" s="6" t="str">
        <x:v>Sector público</x:v>
      </x:c>
      <x:c r="C45" s="6" t="str">
        <x:v>Análisis presupuestario</x:v>
      </x:c>
      <x:c r="D45" s="6" t="str">
        <x:v>Analítica y BI</x:v>
      </x:c>
      <x:c r="E45" s="6" t="str">
        <x:v>Claude; Power BI; Snowflake Cortex Analyst</x:v>
      </x:c>
      <x:c r="F45" s="6" t="str">
        <x:v>Presupuesto, ejecución y definiciones oficiales</x:v>
      </x:c>
      <x:c r="G45" s="6" t="str">
        <x:v>Conciliación y detección de desviaciones</x:v>
      </x:c>
      <x:c r="H45" s="6" t="str">
        <x:v>Trazabilidad y revisión contable</x:v>
      </x:c>
      <x:c r="I45" s="6" t="str">
        <x:v>No mezclar comprometido, devengado y pagado</x:v>
      </x:c>
      <x:c r="J45" s="6" t="str">
        <x:v>Aplicación propuesta para evaluar; no despliegue ni resultado acreditado</x:v>
      </x:c>
    </x:row>
    <x:row r="46" ht="105" customHeight="1">
      <x:c r="A46" s="11" t="str">
        <x:v>C41</x:v>
      </x:c>
      <x:c r="B46" s="11" t="str">
        <x:v>Construcción e inmobiliario</x:v>
      </x:c>
      <x:c r="C46" s="11" t="str">
        <x:v>Información del proyecto</x:v>
      </x:c>
      <x:c r="D46" s="11" t="str">
        <x:v>Análisis documental especializado</x:v>
      </x:c>
      <x:c r="E46" s="11" t="str">
        <x:v>Autodesk Forma AI; Claude; Gemini Notebook</x:v>
      </x:c>
      <x:c r="F46" s="11" t="str">
        <x:v>Planos, especificaciones y versiones</x:v>
      </x:c>
      <x:c r="G46" s="11" t="str">
        <x:v>Consultas correctas y tiempo de búsqueda</x:v>
      </x:c>
      <x:c r="H46" s="11" t="str">
        <x:v>Ingeniería valida versión y criterio</x:v>
      </x:c>
      <x:c r="I46" s="11" t="str">
        <x:v>Detectar plano sustituido y requisito contradictorio</x:v>
      </x:c>
      <x:c r="J46" s="11" t="str">
        <x:v>Aplicación propuesta para evaluar; no despliegue ni resultado acreditado</x:v>
      </x:c>
    </x:row>
    <x:row r="47" ht="105" customHeight="1">
      <x:c r="A47" s="6" t="str">
        <x:v>C42</x:v>
      </x:c>
      <x:c r="B47" s="6" t="str">
        <x:v>Construcción e inmobiliario</x:v>
      </x:c>
      <x:c r="C47" s="6" t="str">
        <x:v>Riesgo de retraso</x:v>
      </x:c>
      <x:c r="D47" s="6" t="str">
        <x:v>Pronóstico y clasificación</x:v>
      </x:c>
      <x:c r="E47" s="6" t="str">
        <x:v>Dataiku; DataRobot; Autodesk Forma AI</x:v>
      </x:c>
      <x:c r="F47" s="6" t="str">
        <x:v>Avance, incidentes, recursos y cronograma</x:v>
      </x:c>
      <x:c r="G47" s="6" t="str">
        <x:v>Alertas útiles y retraso observado</x:v>
      </x:c>
      <x:c r="H47" s="6" t="str">
        <x:v>Director de obra decide acciones</x:v>
      </x:c>
      <x:c r="I47" s="6" t="str">
        <x:v>Validar por obra y fecha; no filtrar resultado futuro</x:v>
      </x:c>
      <x:c r="J47" s="6" t="str">
        <x:v>Aplicación propuesta para evaluar; no despliegue ni resultado acreditado</x:v>
      </x:c>
    </x:row>
    <x:row r="48" ht="105" customHeight="1">
      <x:c r="A48" s="11" t="str">
        <x:v>C43</x:v>
      </x:c>
      <x:c r="B48" s="11" t="str">
        <x:v>Construcción e inmobiliario</x:v>
      </x:c>
      <x:c r="C48" s="11" t="str">
        <x:v>Costos y estimaciones</x:v>
      </x:c>
      <x:c r="D48" s="11" t="str">
        <x:v>Analítica tabular</x:v>
      </x:c>
      <x:c r="E48" s="11" t="str">
        <x:v>Claude; Power BI; Tableau</x:v>
      </x:c>
      <x:c r="F48" s="11" t="str">
        <x:v>Cantidades, contratos y precios vigentes</x:v>
      </x:c>
      <x:c r="G48" s="11" t="str">
        <x:v>Variación de costo y errores de estimación</x:v>
      </x:c>
      <x:c r="H48" s="11" t="str">
        <x:v>Validar unidades y autorización de cambios</x:v>
      </x:c>
      <x:c r="I48" s="11" t="str">
        <x:v>Conciliar cantidades y evitar contar dos veces un concepto</x:v>
      </x:c>
      <x:c r="J48" s="11" t="str">
        <x:v>Aplicación propuesta para evaluar; no despliegue ni resultado acreditado</x:v>
      </x:c>
    </x:row>
    <x:row r="49" ht="105" customHeight="1">
      <x:c r="A49" s="6" t="str">
        <x:v>C44</x:v>
      </x:c>
      <x:c r="B49" s="6" t="str">
        <x:v>Construcción e inmobiliario</x:v>
      </x:c>
      <x:c r="C49" s="6" t="str">
        <x:v>Atención comercial</x:v>
      </x:c>
      <x:c r="D49" s="6" t="str">
        <x:v>Agente con CRM</x:v>
      </x:c>
      <x:c r="E49" s="6" t="str">
        <x:v>HubSpot Agent Hub; Agentforce; ElevenLabs Agents</x:v>
      </x:c>
      <x:c r="F49" s="6" t="str">
        <x:v>Oferta, disponibilidad y fichas verificadas</x:v>
      </x:c>
      <x:c r="G49" s="6" t="str">
        <x:v>Consultas resueltas y citas confirmadas</x:v>
      </x:c>
      <x:c r="H49" s="6" t="str">
        <x:v>No prometer condición contractual ni disponibilidad falsa</x:v>
      </x:c>
      <x:c r="I49" s="6" t="str">
        <x:v>Probar inmueble vendido, precio desactualizado y solicitud sensible</x:v>
      </x:c>
      <x:c r="J49" s="6" t="str">
        <x:v>Aplicación propuesta para evaluar; no despliegue ni resultado acreditado</x:v>
      </x:c>
    </x:row>
    <x:row r="50" ht="105" customHeight="1">
      <x:c r="A50" s="11" t="str">
        <x:v>C45</x:v>
      </x:c>
      <x:c r="B50" s="11" t="str">
        <x:v>Energía y servicios</x:v>
      </x:c>
      <x:c r="C50" s="11" t="str">
        <x:v>Mantenimiento de activos</x:v>
      </x:c>
      <x:c r="D50" s="11" t="str">
        <x:v>Predicción</x:v>
      </x:c>
      <x:c r="E50" s="11" t="str">
        <x:v>Dataiku; DataRobot; IBM watsonx.ai</x:v>
      </x:c>
      <x:c r="F50" s="11" t="str">
        <x:v>Sensores, historial de activos e intervenciones</x:v>
      </x:c>
      <x:c r="G50" s="11" t="str">
        <x:v>Fallas no detectadas y disponibilidad</x:v>
      </x:c>
      <x:c r="H50" s="11" t="str">
        <x:v>Ingeniería controla intervención y parada</x:v>
      </x:c>
      <x:c r="I50" s="11" t="str">
        <x:v>Probar activos y regímenes operativos distintos</x:v>
      </x:c>
      <x:c r="J50" s="11" t="str">
        <x:v>Aplicación propuesta para evaluar; no despliegue ni resultado acreditado</x:v>
      </x:c>
    </x:row>
    <x:row r="51" ht="105" customHeight="1">
      <x:c r="A51" s="6" t="str">
        <x:v>C46</x:v>
      </x:c>
      <x:c r="B51" s="6" t="str">
        <x:v>Energía y servicios</x:v>
      </x:c>
      <x:c r="C51" s="6" t="str">
        <x:v>Demanda energética</x:v>
      </x:c>
      <x:c r="D51" s="6" t="str">
        <x:v>Pronóstico</x:v>
      </x:c>
      <x:c r="E51" s="6" t="str">
        <x:v>Dataiku; Gemini Enterprise Agent Platform; Databricks</x:v>
      </x:c>
      <x:c r="F51" s="6" t="str">
        <x:v>Consumo, clima, horarios y capacidad</x:v>
      </x:c>
      <x:c r="G51" s="6" t="str">
        <x:v>Error de demanda y costo de desbalance</x:v>
      </x:c>
      <x:c r="H51" s="6" t="str">
        <x:v>Operador valida restricciones del sistema</x:v>
      </x:c>
      <x:c r="I51" s="6" t="str">
        <x:v>Comparar contra baseline por estación y día</x:v>
      </x:c>
      <x:c r="J51" s="6" t="str">
        <x:v>Aplicación propuesta para evaluar; no despliegue ni resultado acreditado</x:v>
      </x:c>
    </x:row>
    <x:row r="52" ht="105" customHeight="1">
      <x:c r="A52" s="11" t="str">
        <x:v>C47</x:v>
      </x:c>
      <x:c r="B52" s="11" t="str">
        <x:v>Energía y servicios</x:v>
      </x:c>
      <x:c r="C52" s="11" t="str">
        <x:v>Facturación y atención</x:v>
      </x:c>
      <x:c r="D52" s="11" t="str">
        <x:v>Extracción y agente</x:v>
      </x:c>
      <x:c r="E52" s="11" t="str">
        <x:v>Document AI; Genesys AI; Copilot Studio</x:v>
      </x:c>
      <x:c r="F52" s="11" t="str">
        <x:v>Facturas, contrato y consumos autorizados</x:v>
      </x:c>
      <x:c r="G52" s="11" t="str">
        <x:v>Reclamos resueltos y errores de cobro</x:v>
      </x:c>
      <x:c r="H52" s="11" t="str">
        <x:v>Identidad y revisión de ajustes</x:v>
      </x:c>
      <x:c r="I52" s="11" t="str">
        <x:v>Detectar cuenta ajena y factura incompatible</x:v>
      </x:c>
      <x:c r="J52" s="11" t="str">
        <x:v>Aplicación propuesta para evaluar; no despliegue ni resultado acreditado</x:v>
      </x:c>
    </x:row>
    <x:row r="53" ht="105" customHeight="1">
      <x:c r="A53" s="6" t="str">
        <x:v>C48</x:v>
      </x:c>
      <x:c r="B53" s="6" t="str">
        <x:v>Energía y servicios</x:v>
      </x:c>
      <x:c r="C53" s="6" t="str">
        <x:v>Operación segura</x:v>
      </x:c>
      <x:c r="D53" s="6" t="str">
        <x:v>Conocimiento y asistencia</x:v>
      </x:c>
      <x:c r="E53" s="6" t="str">
        <x:v>Glean; Gemini Notebook; ServiceNow Otto</x:v>
      </x:c>
      <x:c r="F53" s="6" t="str">
        <x:v>Procedimientos y registros autorizados</x:v>
      </x:c>
      <x:c r="G53" s="6" t="str">
        <x:v>Consultas correctas y escalamiento</x:v>
      </x:c>
      <x:c r="H53" s="6" t="str">
        <x:v>Sin control autónomo de equipo crítico en piloto inicial</x:v>
      </x:c>
      <x:c r="I53" s="6" t="str">
        <x:v>Abstenerse ante instrucción ambigua o procedimiento no vigente</x:v>
      </x:c>
      <x:c r="J53" s="6" t="str">
        <x:v>Aplicación propuesta para evaluar; no despliegue ni resultado acreditado</x:v>
      </x:c>
    </x:row>
  </x:sheetData>
  <x:pageMargins left="0.7" right="0.7" top="0.75" bottom="0.75" header="0.3" footer="0.3"/>
  <x:tableParts count="1">
    <x:tablePart xmlns:r="http://schemas.openxmlformats.org/officeDocument/2006/relationships" r:id="R0889822363974deb"/>
  </x:tableParts>
</x:worksheet>
</file>

<file path=xl/worksheets/sheet3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2" hidden="0" customWidth="1"/>
    <x:col min="2" max="2" width="49" hidden="0" customWidth="1"/>
    <x:col min="3" max="3" width="53" hidden="0" customWidth="1"/>
    <x:col min="4" max="4" width="57" hidden="0" customWidth="1"/>
    <x:col min="5" max="5" width="28" hidden="0" customWidth="1"/>
    <x:col min="6" max="6" width="10" hidden="0" customWidth="1"/>
    <x:col min="7" max="7" width="36" hidden="0" customWidth="1"/>
    <x:col min="8" max="8" width="22" hidden="0" customWidth="1"/>
    <x:col min="9" max="9" width="50" hidden="0" customWidth="1"/>
    <x:col min="10" max="10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Checklist para evaluar una herramienta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 t="str">
        <x:v>Cumple exige evidencia. No aplica exige justificación. Una condición crítica pendiente o incumplida impide aprobar el piloto.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46" customHeight="1">
      <x:c r="A5" s="10" t="str">
        <x:v>ID</x:v>
      </x:c>
      <x:c r="B5" s="10" t="str">
        <x:v>Etapa</x:v>
      </x:c>
      <x:c r="C5" s="10" t="str">
        <x:v>Pregunta</x:v>
      </x:c>
      <x:c r="D5" s="10" t="str">
        <x:v>Evidencia requerida</x:v>
      </x:c>
      <x:c r="E5" s="10" t="str">
        <x:v>Responsable propuesto</x:v>
      </x:c>
      <x:c r="F5" s="10" t="str">
        <x:v>Crítica</x:v>
      </x:c>
      <x:c r="G5" s="10" t="str">
        <x:v>Referencia</x:v>
      </x:c>
      <x:c r="H5" s="10" t="str">
        <x:v>Estado</x:v>
      </x:c>
      <x:c r="I5" s="10" t="str">
        <x:v>Evidencia observada</x:v>
      </x:c>
      <x:c r="J5" s="10" t="str">
        <x:v>Acción o responsable real</x:v>
      </x:c>
    </x:row>
    <x:row r="6" ht="80" customHeight="1">
      <x:c r="A6" s="11" t="str">
        <x:v>E01</x:v>
      </x:c>
      <x:c r="B6" s="11" t="str">
        <x:v>Caso de uso</x:v>
      </x:c>
      <x:c r="C6" s="11" t="str">
        <x:v>¿Qué resultado y población se evaluarán?</x:v>
      </x:c>
      <x:c r="D6" s="11" t="str">
        <x:v>Ficha de tarea, usuarios, frecuencia y alcance</x:v>
      </x:c>
      <x:c r="E6" s="11" t="str">
        <x:v>Dueño del proceso</x:v>
      </x:c>
      <x:c r="F6" s="11" t="str">
        <x:v>Sí</x:v>
      </x:c>
      <x:c r="G6" s="11" t="str">
        <x:v>NIST MAP; CRISP-DM</x:v>
      </x:c>
      <x:c r="H6" s="14" t="str">
        <x:v>Pendiente</x:v>
      </x:c>
      <x:c r="I6" s="14" t="str"/>
      <x:c r="J6" s="14" t="str"/>
    </x:row>
    <x:row r="7" ht="80" customHeight="1">
      <x:c r="A7" s="6" t="str">
        <x:v>E02</x:v>
      </x:c>
      <x:c r="B7" s="6" t="str">
        <x:v>Caso de uso</x:v>
      </x:c>
      <x:c r="C7" s="6" t="str">
        <x:v>¿Existe una alternativa sin IA comparable?</x:v>
      </x:c>
      <x:c r="D7" s="6" t="str">
        <x:v>Costo, tiempo y calidad del proceso de referencia</x:v>
      </x:c>
      <x:c r="E7" s="6" t="str">
        <x:v>Operaciones</x:v>
      </x:c>
      <x:c r="F7" s="6" t="str">
        <x:v>No</x:v>
      </x:c>
      <x:c r="G7" s="6" t="str">
        <x:v>CRISP-DM; FinOps</x:v>
      </x:c>
      <x:c r="H7" s="14" t="str">
        <x:v>Pendiente</x:v>
      </x:c>
      <x:c r="I7" s="14" t="str"/>
      <x:c r="J7" s="14" t="str"/>
    </x:row>
    <x:row r="8" ht="80" customHeight="1">
      <x:c r="A8" s="11" t="str">
        <x:v>E03</x:v>
      </x:c>
      <x:c r="B8" s="11" t="str">
        <x:v>Caso de uso</x:v>
      </x:c>
      <x:c r="C8" s="11" t="str">
        <x:v>¿Qué mejora mínima justifica el proyecto?</x:v>
      </x:c>
      <x:c r="D8" s="11" t="str">
        <x:v>Métrica, definición y umbral previo a la prueba</x:v>
      </x:c>
      <x:c r="E8" s="11" t="str">
        <x:v>Patrocinador</x:v>
      </x:c>
      <x:c r="F8" s="11" t="str">
        <x:v>Sí</x:v>
      </x:c>
      <x:c r="G8" s="11" t="str">
        <x:v>NIST MEASURE</x:v>
      </x:c>
      <x:c r="H8" s="14" t="str">
        <x:v>Pendiente</x:v>
      </x:c>
      <x:c r="I8" s="14" t="str"/>
      <x:c r="J8" s="14" t="str"/>
    </x:row>
    <x:row r="9" ht="80" customHeight="1">
      <x:c r="A9" s="6" t="str">
        <x:v>E04</x:v>
      </x:c>
      <x:c r="B9" s="6" t="str">
        <x:v>Proveedor</x:v>
      </x:c>
      <x:c r="C9" s="6" t="str">
        <x:v>¿Cuál es el producto, plan, versión y región exactos?</x:v>
      </x:c>
      <x:c r="D9" s="6" t="str">
        <x:v>Ficha contractual y configuración verificada</x:v>
      </x:c>
      <x:c r="E9" s="6" t="str">
        <x:v>Compras y TI</x:v>
      </x:c>
      <x:c r="F9" s="6" t="str">
        <x:v>Sí</x:v>
      </x:c>
      <x:c r="G9" s="6" t="str">
        <x:v>NIST GOVERN; ISO 42001</x:v>
      </x:c>
      <x:c r="H9" s="14" t="str">
        <x:v>Pendiente</x:v>
      </x:c>
      <x:c r="I9" s="14" t="str"/>
      <x:c r="J9" s="14" t="str"/>
    </x:row>
    <x:row r="10" ht="80" customHeight="1">
      <x:c r="A10" s="11" t="str">
        <x:v>E05</x:v>
      </x:c>
      <x:c r="B10" s="11" t="str">
        <x:v>Proveedor</x:v>
      </x:c>
      <x:c r="C10" s="11" t="str">
        <x:v>¿Qué capacidad está disponible y cuál es anuncio o beta?</x:v>
      </x:c>
      <x:c r="D10" s="11" t="str">
        <x:v>Demostración del recorrido requerido y condiciones</x:v>
      </x:c>
      <x:c r="E10" s="11" t="str">
        <x:v>TI</x:v>
      </x:c>
      <x:c r="F10" s="11" t="str">
        <x:v>Sí</x:v>
      </x:c>
      <x:c r="G10" s="11" t="str">
        <x:v>NIST MAP y MEASURE</x:v>
      </x:c>
      <x:c r="H10" s="14" t="str">
        <x:v>Pendiente</x:v>
      </x:c>
      <x:c r="I10" s="14" t="str"/>
      <x:c r="J10" s="14" t="str"/>
    </x:row>
    <x:row r="11" ht="80" customHeight="1">
      <x:c r="A11" s="6" t="str">
        <x:v>E06</x:v>
      </x:c>
      <x:c r="B11" s="6" t="str">
        <x:v>Proveedor</x:v>
      </x:c>
      <x:c r="C11" s="6" t="str">
        <x:v>¿Podemos exportar datos, configuración y resultados?</x:v>
      </x:c>
      <x:c r="D11" s="6" t="str">
        <x:v>Exportación y prueba de migración</x:v>
      </x:c>
      <x:c r="E11" s="6" t="str">
        <x:v>TI</x:v>
      </x:c>
      <x:c r="F11" s="6" t="str">
        <x:v>No</x:v>
      </x:c>
      <x:c r="G11" s="6" t="str">
        <x:v>NIST MANAGE; FinOps</x:v>
      </x:c>
      <x:c r="H11" s="14" t="str">
        <x:v>Pendiente</x:v>
      </x:c>
      <x:c r="I11" s="14" t="str"/>
      <x:c r="J11" s="14" t="str"/>
    </x:row>
    <x:row r="12" ht="80" customHeight="1">
      <x:c r="A12" s="11" t="str">
        <x:v>E07</x:v>
      </x:c>
      <x:c r="B12" s="11" t="str">
        <x:v>Datos</x:v>
      </x:c>
      <x:c r="C12" s="11" t="str">
        <x:v>¿Tenemos autorización para procesar estos datos?</x:v>
      </x:c>
      <x:c r="D12" s="11" t="str">
        <x:v>Clasificación, finalidad y autorización aplicable</x:v>
      </x:c>
      <x:c r="E12" s="11" t="str">
        <x:v>Responsable de datos</x:v>
      </x:c>
      <x:c r="F12" s="11" t="str">
        <x:v>Sí</x:v>
      </x:c>
      <x:c r="G12" s="11" t="str">
        <x:v>OCDE; ISO 23894</x:v>
      </x:c>
      <x:c r="H12" s="14" t="str">
        <x:v>Pendiente</x:v>
      </x:c>
      <x:c r="I12" s="14" t="str"/>
      <x:c r="J12" s="14" t="str"/>
    </x:row>
    <x:row r="13" ht="80" customHeight="1">
      <x:c r="A13" s="6" t="str">
        <x:v>E08</x:v>
      </x:c>
      <x:c r="B13" s="6" t="str">
        <x:v>Datos</x:v>
      </x:c>
      <x:c r="C13" s="6" t="str">
        <x:v>¿Qué se envía al proveedor y a subprocesadores?</x:v>
      </x:c>
      <x:c r="D13" s="6" t="str">
        <x:v>Diagrama de datos, contrato y configuración</x:v>
      </x:c>
      <x:c r="E13" s="6" t="str">
        <x:v>Privacidad y TI</x:v>
      </x:c>
      <x:c r="F13" s="6" t="str">
        <x:v>Sí</x:v>
      </x:c>
      <x:c r="G13" s="6" t="str">
        <x:v>NIST MAP; OWASP LLM02 y LLM03</x:v>
      </x:c>
      <x:c r="H13" s="14" t="str">
        <x:v>Pendiente</x:v>
      </x:c>
      <x:c r="I13" s="14" t="str"/>
      <x:c r="J13" s="14" t="str"/>
    </x:row>
    <x:row r="14" ht="80" customHeight="1">
      <x:c r="A14" s="11" t="str">
        <x:v>E09</x:v>
      </x:c>
      <x:c r="B14" s="11" t="str">
        <x:v>Datos</x:v>
      </x:c>
      <x:c r="C14" s="11" t="str">
        <x:v>¿Qué uso para entrenamiento, retención y borrado se pacta?</x:v>
      </x:c>
      <x:c r="D14" s="11" t="str">
        <x:v>Términos del plan y prueba de borrado/exportación</x:v>
      </x:c>
      <x:c r="E14" s="11" t="str">
        <x:v>Privacidad y Compras</x:v>
      </x:c>
      <x:c r="F14" s="11" t="str">
        <x:v>Sí</x:v>
      </x:c>
      <x:c r="G14" s="11" t="str">
        <x:v>NIST GOVERN; ISO 42001</x:v>
      </x:c>
      <x:c r="H14" s="14" t="str">
        <x:v>Pendiente</x:v>
      </x:c>
      <x:c r="I14" s="14" t="str"/>
      <x:c r="J14" s="14" t="str"/>
    </x:row>
    <x:row r="15" ht="80" customHeight="1">
      <x:c r="A15" s="6" t="str">
        <x:v>E10</x:v>
      </x:c>
      <x:c r="B15" s="6" t="str">
        <x:v>Datos</x:v>
      </x:c>
      <x:c r="C15" s="6" t="str">
        <x:v>¿Los permisos de cada fuente se preservan?</x:v>
      </x:c>
      <x:c r="D15" s="6" t="str">
        <x:v>Pruebas con cuentas de roles diferentes</x:v>
      </x:c>
      <x:c r="E15" s="6" t="str">
        <x:v>Seguridad</x:v>
      </x:c>
      <x:c r="F15" s="6" t="str">
        <x:v>Sí</x:v>
      </x:c>
      <x:c r="G15" s="6" t="str">
        <x:v>NIST MEASURE; OWASP LLM02</x:v>
      </x:c>
      <x:c r="H15" s="14" t="str">
        <x:v>Pendiente</x:v>
      </x:c>
      <x:c r="I15" s="14" t="str"/>
      <x:c r="J15" s="14" t="str"/>
    </x:row>
    <x:row r="16" ht="80" customHeight="1">
      <x:c r="A16" s="11" t="str">
        <x:v>E11</x:v>
      </x:c>
      <x:c r="B16" s="11" t="str">
        <x:v>Datos</x:v>
      </x:c>
      <x:c r="C16" s="11" t="str">
        <x:v>¿La calidad y vigencia de fuentes es suficiente?</x:v>
      </x:c>
      <x:c r="D16" s="11" t="str">
        <x:v>Perfilado, fechas, versiones y responsable</x:v>
      </x:c>
      <x:c r="E16" s="11" t="str">
        <x:v>Responsable de datos</x:v>
      </x:c>
      <x:c r="F16" s="11" t="str">
        <x:v>Sí</x:v>
      </x:c>
      <x:c r="G16" s="11" t="str">
        <x:v>CRISP-DM; NIST MAP</x:v>
      </x:c>
      <x:c r="H16" s="14" t="str">
        <x:v>Pendiente</x:v>
      </x:c>
      <x:c r="I16" s="14" t="str"/>
      <x:c r="J16" s="14" t="str"/>
    </x:row>
    <x:row r="17" ht="80" customHeight="1">
      <x:c r="A17" s="6" t="str">
        <x:v>E12</x:v>
      </x:c>
      <x:c r="B17" s="6" t="str">
        <x:v>Calidad</x:v>
      </x:c>
      <x:c r="C17" s="6" t="str">
        <x:v>¿Hay un conjunto representativo separado de desarrollo?</x:v>
      </x:c>
      <x:c r="D17" s="6" t="str">
        <x:v>Casos de prueba reservados y resultados esperados</x:v>
      </x:c>
      <x:c r="E17" s="6" t="str">
        <x:v>Evaluador</x:v>
      </x:c>
      <x:c r="F17" s="6" t="str">
        <x:v>Sí</x:v>
      </x:c>
      <x:c r="G17" s="6" t="str">
        <x:v>NIST MEASURE; CRISP-DM</x:v>
      </x:c>
      <x:c r="H17" s="14" t="str">
        <x:v>Pendiente</x:v>
      </x:c>
      <x:c r="I17" s="14" t="str"/>
      <x:c r="J17" s="14" t="str"/>
    </x:row>
    <x:row r="18" ht="80" customHeight="1">
      <x:c r="A18" s="11" t="str">
        <x:v>E13</x:v>
      </x:c>
      <x:c r="B18" s="11" t="str">
        <x:v>Calidad</x:v>
      </x:c>
      <x:c r="C18" s="11" t="str">
        <x:v>¿Se comprobó con cálculo o consulta independiente?</x:v>
      </x:c>
      <x:c r="D18" s="11" t="str">
        <x:v>Fórmulas, SQL o código y conciliación</x:v>
      </x:c>
      <x:c r="E18" s="11" t="str">
        <x:v>Analista</x:v>
      </x:c>
      <x:c r="F18" s="11" t="str">
        <x:v>Sí</x:v>
      </x:c>
      <x:c r="G18" s="11" t="str">
        <x:v>CRISP-DM; NIST MEASURE</x:v>
      </x:c>
      <x:c r="H18" s="14" t="str">
        <x:v>Pendiente</x:v>
      </x:c>
      <x:c r="I18" s="14" t="str"/>
      <x:c r="J18" s="14" t="str"/>
    </x:row>
    <x:row r="19" ht="80" customHeight="1">
      <x:c r="A19" s="6" t="str">
        <x:v>E14</x:v>
      </x:c>
      <x:c r="B19" s="6" t="str">
        <x:v>Calidad</x:v>
      </x:c>
      <x:c r="C19" s="6" t="str">
        <x:v>¿Se probaron faltantes, contradicciones y abstención?</x:v>
      </x:c>
      <x:c r="D19" s="6" t="str">
        <x:v>Casos límite y comportamiento observado</x:v>
      </x:c>
      <x:c r="E19" s="6" t="str">
        <x:v>Evaluador</x:v>
      </x:c>
      <x:c r="F19" s="6" t="str">
        <x:v>Sí</x:v>
      </x:c>
      <x:c r="G19" s="6" t="str">
        <x:v>NIST AI 600-1; OWASP LLM09</x:v>
      </x:c>
      <x:c r="H19" s="14" t="str">
        <x:v>Pendiente</x:v>
      </x:c>
      <x:c r="I19" s="14" t="str"/>
      <x:c r="J19" s="14" t="str"/>
    </x:row>
    <x:row r="20" ht="80" customHeight="1">
      <x:c r="A20" s="11" t="str">
        <x:v>E15</x:v>
      </x:c>
      <x:c r="B20" s="11" t="str">
        <x:v>Calidad</x:v>
      </x:c>
      <x:c r="C20" s="11" t="str">
        <x:v>¿Se midieron errores materiales por subgrupo relevante?</x:v>
      </x:c>
      <x:c r="D20" s="11" t="str">
        <x:v>Métricas y ejemplos por segmento</x:v>
      </x:c>
      <x:c r="E20" s="11" t="str">
        <x:v>Dueño del proceso</x:v>
      </x:c>
      <x:c r="F20" s="11" t="str">
        <x:v>No</x:v>
      </x:c>
      <x:c r="G20" s="11" t="str">
        <x:v>OCDE; NIST MEASURE</x:v>
      </x:c>
      <x:c r="H20" s="14" t="str">
        <x:v>Pendiente</x:v>
      </x:c>
      <x:c r="I20" s="14" t="str"/>
      <x:c r="J20" s="14" t="str"/>
    </x:row>
    <x:row r="21" ht="80" customHeight="1">
      <x:c r="A21" s="6" t="str">
        <x:v>E16</x:v>
      </x:c>
      <x:c r="B21" s="6" t="str">
        <x:v>Calidad</x:v>
      </x:c>
      <x:c r="C21" s="6" t="str">
        <x:v>¿Se repitieron pruebas para observar variación?</x:v>
      </x:c>
      <x:c r="D21" s="6" t="str">
        <x:v>Registro de versión, condiciones y repeticiones</x:v>
      </x:c>
      <x:c r="E21" s="6" t="str">
        <x:v>Evaluador</x:v>
      </x:c>
      <x:c r="F21" s="6" t="str">
        <x:v>No</x:v>
      </x:c>
      <x:c r="G21" s="6" t="str">
        <x:v>NIST MEASURE</x:v>
      </x:c>
      <x:c r="H21" s="14" t="str">
        <x:v>Pendiente</x:v>
      </x:c>
      <x:c r="I21" s="14" t="str"/>
      <x:c r="J21" s="14" t="str"/>
    </x:row>
    <x:row r="22" ht="80" customHeight="1">
      <x:c r="A22" s="11" t="str">
        <x:v>E17</x:v>
      </x:c>
      <x:c r="B22" s="11" t="str">
        <x:v>Seguridad</x:v>
      </x:c>
      <x:c r="C22" s="11" t="str">
        <x:v>¿Una fuente maliciosa puede cambiar las instrucciones?</x:v>
      </x:c>
      <x:c r="D22" s="11" t="str">
        <x:v>Prueba de inyección indirecta en documento</x:v>
      </x:c>
      <x:c r="E22" s="11" t="str">
        <x:v>Seguridad</x:v>
      </x:c>
      <x:c r="F22" s="11" t="str">
        <x:v>Sí</x:v>
      </x:c>
      <x:c r="G22" s="11" t="str">
        <x:v>OWASP LLM01</x:v>
      </x:c>
      <x:c r="H22" s="14" t="str">
        <x:v>Pendiente</x:v>
      </x:c>
      <x:c r="I22" s="14" t="str"/>
      <x:c r="J22" s="14" t="str"/>
    </x:row>
    <x:row r="23" ht="80" customHeight="1">
      <x:c r="A23" s="6" t="str">
        <x:v>E18</x:v>
      </x:c>
      <x:c r="B23" s="6" t="str">
        <x:v>Seguridad</x:v>
      </x:c>
      <x:c r="C23" s="6" t="str">
        <x:v>¿La salida se valida antes de usarla en otro sistema?</x:v>
      </x:c>
      <x:c r="D23" s="6" t="str">
        <x:v>Validación de esquema, contenido y acciones</x:v>
      </x:c>
      <x:c r="E23" s="6" t="str">
        <x:v>TI</x:v>
      </x:c>
      <x:c r="F23" s="6" t="str">
        <x:v>Sí</x:v>
      </x:c>
      <x:c r="G23" s="6" t="str">
        <x:v>OWASP LLM05</x:v>
      </x:c>
      <x:c r="H23" s="14" t="str">
        <x:v>Pendiente</x:v>
      </x:c>
      <x:c r="I23" s="14" t="str"/>
      <x:c r="J23" s="14" t="str"/>
    </x:row>
    <x:row r="24" ht="80" customHeight="1">
      <x:c r="A24" s="11" t="str">
        <x:v>E19</x:v>
      </x:c>
      <x:c r="B24" s="11" t="str">
        <x:v>Seguridad</x:v>
      </x:c>
      <x:c r="C24" s="11" t="str">
        <x:v>¿Cada herramienta tiene permisos mínimos?</x:v>
      </x:c>
      <x:c r="D24" s="11" t="str">
        <x:v>Inventario de leer, escribir, enviar y aprobar</x:v>
      </x:c>
      <x:c r="E24" s="11" t="str">
        <x:v>Seguridad y Operaciones</x:v>
      </x:c>
      <x:c r="F24" s="11" t="str">
        <x:v>Sí</x:v>
      </x:c>
      <x:c r="G24" s="11" t="str">
        <x:v>OWASP LLM06</x:v>
      </x:c>
      <x:c r="H24" s="14" t="str">
        <x:v>Pendiente</x:v>
      </x:c>
      <x:c r="I24" s="14" t="str"/>
      <x:c r="J24" s="14" t="str"/>
    </x:row>
    <x:row r="25" ht="80" customHeight="1">
      <x:c r="A25" s="6" t="str">
        <x:v>E20</x:v>
      </x:c>
      <x:c r="B25" s="6" t="str">
        <x:v>Seguridad</x:v>
      </x:c>
      <x:c r="C25" s="6" t="str">
        <x:v>¿Hay aislamiento de pruebas y custodia de secretos?</x:v>
      </x:c>
      <x:c r="D25" s="6" t="str">
        <x:v>Entorno de ensayo y credenciales fuera de prompts</x:v>
      </x:c>
      <x:c r="E25" s="6" t="str">
        <x:v>TI</x:v>
      </x:c>
      <x:c r="F25" s="6" t="str">
        <x:v>Sí</x:v>
      </x:c>
      <x:c r="G25" s="6" t="str">
        <x:v>OWASP LLM02 y LLM03</x:v>
      </x:c>
      <x:c r="H25" s="14" t="str">
        <x:v>Pendiente</x:v>
      </x:c>
      <x:c r="I25" s="14" t="str"/>
      <x:c r="J25" s="14" t="str"/>
    </x:row>
    <x:row r="26" ht="80" customHeight="1">
      <x:c r="A26" s="11" t="str">
        <x:v>E21</x:v>
      </x:c>
      <x:c r="B26" s="11" t="str">
        <x:v>Seguridad</x:v>
      </x:c>
      <x:c r="C26" s="11" t="str">
        <x:v>¿Hay límite de pasos, reintentos, volumen y gasto?</x:v>
      </x:c>
      <x:c r="D26" s="11" t="str">
        <x:v>Prueba de límite y detención efectiva</x:v>
      </x:c>
      <x:c r="E26" s="11" t="str">
        <x:v>TI y Finanzas</x:v>
      </x:c>
      <x:c r="F26" s="11" t="str">
        <x:v>Sí</x:v>
      </x:c>
      <x:c r="G26" s="11" t="str">
        <x:v>OWASP LLM10; FinOps</x:v>
      </x:c>
      <x:c r="H26" s="14" t="str">
        <x:v>Pendiente</x:v>
      </x:c>
      <x:c r="I26" s="14" t="str"/>
      <x:c r="J26" s="14" t="str"/>
    </x:row>
    <x:row r="27" ht="80" customHeight="1">
      <x:c r="A27" s="6" t="str">
        <x:v>E22</x:v>
      </x:c>
      <x:c r="B27" s="6" t="str">
        <x:v>Costos</x:v>
      </x:c>
      <x:c r="C27" s="6" t="str">
        <x:v>¿Se presupuestaron licencias y consumo por separado?</x:v>
      </x:c>
      <x:c r="D27" s="6" t="str">
        <x:v>Tarifas, moneda, impuestos y límites documentados</x:v>
      </x:c>
      <x:c r="E27" s="6" t="str">
        <x:v>Compras y Finanzas</x:v>
      </x:c>
      <x:c r="F27" s="6" t="str">
        <x:v>Sí</x:v>
      </x:c>
      <x:c r="G27" s="6" t="str">
        <x:v>FinOps</x:v>
      </x:c>
      <x:c r="H27" s="14" t="str">
        <x:v>Pendiente</x:v>
      </x:c>
      <x:c r="I27" s="14" t="str"/>
      <x:c r="J27" s="14" t="str"/>
    </x:row>
    <x:row r="28" ht="80" customHeight="1">
      <x:c r="A28" s="11" t="str">
        <x:v>E23</x:v>
      </x:c>
      <x:c r="B28" s="11" t="str">
        <x:v>Costos</x:v>
      </x:c>
      <x:c r="C28" s="11" t="str">
        <x:v>¿Se incluyeron datos, conectores, pruebas y operación?</x:v>
      </x:c>
      <x:c r="D28" s="11" t="str">
        <x:v>TCO con responsables y cantidades</x:v>
      </x:c>
      <x:c r="E28" s="11" t="str">
        <x:v>Finanzas y TI</x:v>
      </x:c>
      <x:c r="F28" s="11" t="str">
        <x:v>No</x:v>
      </x:c>
      <x:c r="G28" s="11" t="str">
        <x:v>FinOps</x:v>
      </x:c>
      <x:c r="H28" s="14" t="str">
        <x:v>Pendiente</x:v>
      </x:c>
      <x:c r="I28" s="14" t="str"/>
      <x:c r="J28" s="14" t="str"/>
    </x:row>
    <x:row r="29" ht="80" customHeight="1">
      <x:c r="A29" s="6" t="str">
        <x:v>E24</x:v>
      </x:c>
      <x:c r="B29" s="6" t="str">
        <x:v>Costos</x:v>
      </x:c>
      <x:c r="C29" s="6" t="str">
        <x:v>¿Se midió revisión, corrección y trabajo pendiente?</x:v>
      </x:c>
      <x:c r="D29" s="6" t="str">
        <x:v>Tiempos observados por tipo de caso</x:v>
      </x:c>
      <x:c r="E29" s="6" t="str">
        <x:v>Operaciones</x:v>
      </x:c>
      <x:c r="F29" s="6" t="str">
        <x:v>Sí</x:v>
      </x:c>
      <x:c r="G29" s="6" t="str">
        <x:v>FinOps; NIST MEASURE</x:v>
      </x:c>
      <x:c r="H29" s="14" t="str">
        <x:v>Pendiente</x:v>
      </x:c>
      <x:c r="I29" s="14" t="str"/>
      <x:c r="J29" s="14" t="str"/>
    </x:row>
    <x:row r="30" ht="80" customHeight="1">
      <x:c r="A30" s="11" t="str">
        <x:v>E25</x:v>
      </x:c>
      <x:c r="B30" s="11" t="str">
        <x:v>Costos</x:v>
      </x:c>
      <x:c r="C30" s="11" t="str">
        <x:v>¿Se calculó costo por resultado aceptado?</x:v>
      </x:c>
      <x:c r="D30" s="11" t="str">
        <x:v>Costos asignados y denominador de resultados útiles</x:v>
      </x:c>
      <x:c r="E30" s="11" t="str">
        <x:v>Finanzas</x:v>
      </x:c>
      <x:c r="F30" s="11" t="str">
        <x:v>Sí</x:v>
      </x:c>
      <x:c r="G30" s="11" t="str">
        <x:v>FinOps Unit Economics</x:v>
      </x:c>
      <x:c r="H30" s="14" t="str">
        <x:v>Pendiente</x:v>
      </x:c>
      <x:c r="I30" s="14" t="str"/>
      <x:c r="J30" s="14" t="str"/>
    </x:row>
    <x:row r="31" ht="80" customHeight="1">
      <x:c r="A31" s="6" t="str">
        <x:v>E26</x:v>
      </x:c>
      <x:c r="B31" s="6" t="str">
        <x:v>Costos</x:v>
      </x:c>
      <x:c r="C31" s="6" t="str">
        <x:v>¿Los escenarios cubren demanda y peor calidad?</x:v>
      </x:c>
      <x:c r="D31" s="6" t="str">
        <x:v>Cambiar entradas y recalcular presupuesto</x:v>
      </x:c>
      <x:c r="E31" s="6" t="str">
        <x:v>Finanzas</x:v>
      </x:c>
      <x:c r="F31" s="6" t="str">
        <x:v>No</x:v>
      </x:c>
      <x:c r="G31" s="6" t="str">
        <x:v>FinOps forecasting</x:v>
      </x:c>
      <x:c r="H31" s="14" t="str">
        <x:v>Pendiente</x:v>
      </x:c>
      <x:c r="I31" s="14" t="str"/>
      <x:c r="J31" s="14" t="str"/>
    </x:row>
    <x:row r="32" ht="80" customHeight="1">
      <x:c r="A32" s="11" t="str">
        <x:v>E27</x:v>
      </x:c>
      <x:c r="B32" s="11" t="str">
        <x:v>Costos</x:v>
      </x:c>
      <x:c r="C32" s="11" t="str">
        <x:v>¿Se distingue ahorro de caja de capacidad liberada?</x:v>
      </x:c>
      <x:c r="D32" s="11" t="str">
        <x:v>Mecanismo de ahorro o reasignación verificable</x:v>
      </x:c>
      <x:c r="E32" s="11" t="str">
        <x:v>Finanzas y Operaciones</x:v>
      </x:c>
      <x:c r="F32" s="11" t="str">
        <x:v>Sí</x:v>
      </x:c>
      <x:c r="G32" s="11" t="str">
        <x:v>FinOps; criterio docente</x:v>
      </x:c>
      <x:c r="H32" s="14" t="str">
        <x:v>Pendiente</x:v>
      </x:c>
      <x:c r="I32" s="14" t="str"/>
      <x:c r="J32" s="14" t="str"/>
    </x:row>
    <x:row r="33" ht="80" customHeight="1">
      <x:c r="A33" s="6" t="str">
        <x:v>E28</x:v>
      </x:c>
      <x:c r="B33" s="6" t="str">
        <x:v>Operación</x:v>
      </x:c>
      <x:c r="C33" s="6" t="str">
        <x:v>¿Quién aprueba y quién atiende fallas?</x:v>
      </x:c>
      <x:c r="D33" s="6" t="str">
        <x:v>Responsables y autoridad de cada acción</x:v>
      </x:c>
      <x:c r="E33" s="6" t="str">
        <x:v>Dueño del proceso</x:v>
      </x:c>
      <x:c r="F33" s="6" t="str">
        <x:v>Sí</x:v>
      </x:c>
      <x:c r="G33" s="6" t="str">
        <x:v>NIST GOVERN; ISO 42001</x:v>
      </x:c>
      <x:c r="H33" s="14" t="str">
        <x:v>Pendiente</x:v>
      </x:c>
      <x:c r="I33" s="14" t="str"/>
      <x:c r="J33" s="14" t="str"/>
    </x:row>
    <x:row r="34" ht="80" customHeight="1">
      <x:c r="A34" s="11" t="str">
        <x:v>E29</x:v>
      </x:c>
      <x:c r="B34" s="11" t="str">
        <x:v>Operación</x:v>
      </x:c>
      <x:c r="C34" s="11" t="str">
        <x:v>¿Se registran versión, fuente, acción, costo y resultado?</x:v>
      </x:c>
      <x:c r="D34" s="11" t="str">
        <x:v>Trazas suficientes con acceso y retención limitados</x:v>
      </x:c>
      <x:c r="E34" s="11" t="str">
        <x:v>TI y Seguridad</x:v>
      </x:c>
      <x:c r="F34" s="11" t="str">
        <x:v>No</x:v>
      </x:c>
      <x:c r="G34" s="11" t="str">
        <x:v>NIST MEASURE; OWASP</x:v>
      </x:c>
      <x:c r="H34" s="14" t="str">
        <x:v>Pendiente</x:v>
      </x:c>
      <x:c r="I34" s="14" t="str"/>
      <x:c r="J34" s="14" t="str"/>
    </x:row>
    <x:row r="35" ht="80" customHeight="1">
      <x:c r="A35" s="6" t="str">
        <x:v>E30</x:v>
      </x:c>
      <x:c r="B35" s="6" t="str">
        <x:v>Operación</x:v>
      </x:c>
      <x:c r="C35" s="6" t="str">
        <x:v>¿Se puede detener y volver al procedimiento anterior?</x:v>
      </x:c>
      <x:c r="D35" s="6" t="str">
        <x:v>Ensayo de suspensión y recuperación</x:v>
      </x:c>
      <x:c r="E35" s="6" t="str">
        <x:v>Operaciones</x:v>
      </x:c>
      <x:c r="F35" s="6" t="str">
        <x:v>Sí</x:v>
      </x:c>
      <x:c r="G35" s="6" t="str">
        <x:v>NIST MANAGE; OCDE</x:v>
      </x:c>
      <x:c r="H35" s="14" t="str">
        <x:v>Pendiente</x:v>
      </x:c>
      <x:c r="I35" s="14" t="str"/>
      <x:c r="J35" s="14" t="str"/>
    </x:row>
    <x:row r="36" ht="80" customHeight="1">
      <x:c r="A36" s="11" t="str">
        <x:v>E31</x:v>
      </x:c>
      <x:c r="B36" s="11" t="str">
        <x:v>Operación</x:v>
      </x:c>
      <x:c r="C36" s="11" t="str">
        <x:v>¿Está definido cómo contener y corregir un incidente?</x:v>
      </x:c>
      <x:c r="D36" s="11" t="str">
        <x:v>Procedimiento, responsables y condición de reanudación</x:v>
      </x:c>
      <x:c r="E36" s="11" t="str">
        <x:v>Seguridad y Operaciones</x:v>
      </x:c>
      <x:c r="F36" s="11" t="str">
        <x:v>Sí</x:v>
      </x:c>
      <x:c r="G36" s="11" t="str">
        <x:v>NIST MANAGE</x:v>
      </x:c>
      <x:c r="H36" s="14" t="str">
        <x:v>Pendiente</x:v>
      </x:c>
      <x:c r="I36" s="14" t="str"/>
      <x:c r="J36" s="14" t="str"/>
    </x:row>
    <x:row r="37" ht="80" customHeight="1">
      <x:c r="A37" s="6" t="str">
        <x:v>E32</x:v>
      </x:c>
      <x:c r="B37" s="6" t="str">
        <x:v>Operación</x:v>
      </x:c>
      <x:c r="C37" s="6" t="str">
        <x:v>¿Quién mantiene fuentes y controla cambios de modelo?</x:v>
      </x:c>
      <x:c r="D37" s="6" t="str">
        <x:v>Calendario y prueba de regresión ante cambios</x:v>
      </x:c>
      <x:c r="E37" s="6" t="str">
        <x:v>Dueño del sistema</x:v>
      </x:c>
      <x:c r="F37" s="6" t="str">
        <x:v>No</x:v>
      </x:c>
      <x:c r="G37" s="6" t="str">
        <x:v>ISO 42001; NIST GOVERN</x:v>
      </x:c>
      <x:c r="H37" s="14" t="str">
        <x:v>Pendiente</x:v>
      </x:c>
      <x:c r="I37" s="14" t="str"/>
      <x:c r="J37" s="14" t="str"/>
    </x:row>
    <x:row r="38" ht="80" customHeight="1">
      <x:c r="A38" s="11" t="str">
        <x:v>E33</x:v>
      </x:c>
      <x:c r="B38" s="11" t="str">
        <x:v>Impactos</x:v>
      </x:c>
      <x:c r="C38" s="11" t="str">
        <x:v>¿Se informó a usuarios y afectados cuando corresponde?</x:v>
      </x:c>
      <x:c r="D38" s="11" t="str">
        <x:v>Avisos, canales de consulta y revisión</x:v>
      </x:c>
      <x:c r="E38" s="11" t="str">
        <x:v>Dueño del proceso</x:v>
      </x:c>
      <x:c r="F38" s="11" t="str">
        <x:v>Sí</x:v>
      </x:c>
      <x:c r="G38" s="11" t="str">
        <x:v>OCDE</x:v>
      </x:c>
      <x:c r="H38" s="14" t="str">
        <x:v>Pendiente</x:v>
      </x:c>
      <x:c r="I38" s="14" t="str"/>
      <x:c r="J38" s="14" t="str"/>
    </x:row>
    <x:row r="39" ht="80" customHeight="1">
      <x:c r="A39" s="6" t="str">
        <x:v>E34</x:v>
      </x:c>
      <x:c r="B39" s="6" t="str">
        <x:v>Impactos</x:v>
      </x:c>
      <x:c r="C39" s="6" t="str">
        <x:v>¿Se revisaron idioma, accesibilidad y exclusión?</x:v>
      </x:c>
      <x:c r="D39" s="6" t="str">
        <x:v>Pruebas con usuarios y grupos pertinentes</x:v>
      </x:c>
      <x:c r="E39" s="6" t="str">
        <x:v>Responsable de experiencia</x:v>
      </x:c>
      <x:c r="F39" s="6" t="str">
        <x:v>No</x:v>
      </x:c>
      <x:c r="G39" s="6" t="str">
        <x:v>OCDE; NIST MEASURE</x:v>
      </x:c>
      <x:c r="H39" s="14" t="str">
        <x:v>Pendiente</x:v>
      </x:c>
      <x:c r="I39" s="14" t="str"/>
      <x:c r="J39" s="14" t="str"/>
    </x:row>
    <x:row r="40" ht="80" customHeight="1">
      <x:c r="A40" s="11" t="str">
        <x:v>E35</x:v>
      </x:c>
      <x:c r="B40" s="11" t="str">
        <x:v>Decisión</x:v>
      </x:c>
      <x:c r="C40" s="11" t="str">
        <x:v>¿La evidencia permite un piloto acotado y reversible?</x:v>
      </x:c>
      <x:c r="D40" s="11" t="str">
        <x:v>Alcance, condiciones, presupuesto y responsable</x:v>
      </x:c>
      <x:c r="E40" s="11" t="str">
        <x:v>Patrocinador</x:v>
      </x:c>
      <x:c r="F40" s="11" t="str">
        <x:v>Sí</x:v>
      </x:c>
      <x:c r="G40" s="11" t="str">
        <x:v>NIST MANAGE; criterio docente</x:v>
      </x:c>
      <x:c r="H40" s="14" t="str">
        <x:v>Pendiente</x:v>
      </x:c>
      <x:c r="I40" s="14" t="str"/>
      <x:c r="J40" s="14" t="str"/>
    </x:row>
    <x:row r="41" ht="80" customHeight="1">
      <x:c r="A41" s="6" t="str">
        <x:v>E36</x:v>
      </x:c>
      <x:c r="B41" s="6" t="str">
        <x:v>Decisión</x:v>
      </x:c>
      <x:c r="C41" s="6" t="str">
        <x:v>¿Se definió cuándo continuar, modificar o detener?</x:v>
      </x:c>
      <x:c r="D41" s="6" t="str">
        <x:v>Métricas y revisión en fecha concreta</x:v>
      </x:c>
      <x:c r="E41" s="6" t="str">
        <x:v>Patrocinador</x:v>
      </x:c>
      <x:c r="F41" s="6" t="str">
        <x:v>Sí</x:v>
      </x:c>
      <x:c r="G41" s="6" t="str">
        <x:v>NIST MANAGE; FinOps</x:v>
      </x:c>
      <x:c r="H41" s="14" t="str">
        <x:v>Pendiente</x:v>
      </x:c>
      <x:c r="I41" s="14" t="str"/>
      <x:c r="J41" s="14" t="str"/>
    </x:row>
    <x:row r="44" ht="30" customHeight="1">
      <x:c r="A44" t="str">
        <x:v>Condiciones críticas sin resolver</x:v>
      </x:c>
      <x:c r="B44" t="n">
        <x:f>COUNTIFS(F6:F41,"Sí",H6:H41,"Pendiente")+COUNTIFS(F6:F41,"Sí",H6:H41,"No cumple")</x:f>
        <x:v>27</x:v>
      </x:c>
    </x:row>
    <x:row r="45" ht="30" customHeight="1">
      <x:c r="A45" t="str">
        <x:v>Filas evaluadas sin evidencia o justificación</x:v>
      </x:c>
      <x:c r="B45" t="n">
        <x:f>SUMPRODUCT((H6:H41&lt;&gt;"Pendiente")*(I6:I41=""))</x:f>
        <x:v>0</x:v>
      </x:c>
    </x:row>
    <x:row r="46" ht="30" customHeight="1">
      <x:c r="A46" t="str">
        <x:v>Resultado de la revisión</x:v>
      </x:c>
      <x:c r="B46" t="str">
        <x:f>IF(B44&gt;0,"No aprobar todavía",IF(B45&gt;0,"Completar evidencia",IF(COUNTIF(H6:H41,"Pendiente")&gt;0,"Revisión parcial; decide responsable","Revisión completa; decide responsable")))</x:f>
        <x:v>No aprobar todavía</x:v>
      </x:c>
    </x:row>
  </x:sheetData>
  <x:dataValidations count="1">
    <x:dataValidation type="list" sqref="H6:H41">
      <x:formula1>"Pendiente,Cumple,No cumple,No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34e2871cd842d6"/>
  </x:tableParts>
</x:worksheet>
</file>

<file path=xl/worksheets/sheet4.xml><?xml version="1.0" encoding="utf-8"?>
<x:worksheet xmlns:x="http://schemas.openxmlformats.org/spreadsheetml/2006/main">
  <x:sheetPr>
    <x:tabColor rgb="FF25364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1" hidden="0" customWidth="1"/>
    <x:col min="2" max="2" width="19" hidden="0" customWidth="1"/>
    <x:col min="3" max="3" width="19" hidden="0" customWidth="1"/>
    <x:col min="4" max="4" width="22" hidden="0" customWidth="1"/>
    <x:col min="5" max="5" width="6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Costo por resultado y TCO de IA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>
      <x:c r="A4" s="1" t="str">
        <x:v>Ejemplo ficticio en USD. Incluye trabajo humano a costo económico. La capacidad liberada no equivale a reducción de nómina.</x:v>
      </x:c>
      <x:c r="B4" s="1"/>
      <x:c r="C4" s="1"/>
      <x:c r="D4" s="1"/>
      <x:c r="E4" s="1"/>
    </x:row>
    <x:row r="6" ht="34" customHeight="1">
      <x:c r="A6" s="20" t="str">
        <x:v>Entrada o cálculo</x:v>
      </x:c>
      <x:c r="B6" s="20" t="str">
        <x:v>Sin IA</x:v>
      </x:c>
      <x:c r="C6" s="20" t="str">
        <x:v>Con IA</x:v>
      </x:c>
      <x:c r="D6" s="20" t="str">
        <x:v>Unidad</x:v>
      </x:c>
      <x:c r="E6" s="20" t="str">
        <x:v>Base del supuesto</x:v>
      </x:c>
    </x:row>
    <x:row r="7" ht="28" customHeight="1">
      <x:c r="A7" s="16" t="str">
        <x:v>Solicitudes al mes</x:v>
      </x:c>
      <x:c r="B7" s="18" t="n">
        <x:v>10000</x:v>
      </x:c>
      <x:c r="C7" s="18" t="n">
        <x:v>10000</x:v>
      </x:c>
      <x:c r="D7" s="16" t="str">
        <x:v>solicitudes</x:v>
      </x:c>
      <x:c r="E7" s="16" t="str">
        <x:v>Supuesto docente</x:v>
      </x:c>
    </x:row>
    <x:row r="8" ht="28" customHeight="1">
      <x:c r="A8" s="16" t="str">
        <x:v>Minutos por caso sin IA</x:v>
      </x:c>
      <x:c r="B8" s="18" t="n">
        <x:v>6</x:v>
      </x:c>
      <x:c r="C8" s="18" t="n">
        <x:v>6</x:v>
      </x:c>
      <x:c r="D8" s="16" t="str">
        <x:v>minutos</x:v>
      </x:c>
      <x:c r="E8" s="16" t="str">
        <x:v>Supuesto docente</x:v>
      </x:c>
    </x:row>
    <x:row r="9" ht="28" customHeight="1">
      <x:c r="A9" s="16" t="str">
        <x:v>Costo económico de hora humana</x:v>
      </x:c>
      <x:c r="B9" s="18" t="n">
        <x:v>18</x:v>
      </x:c>
      <x:c r="C9" s="18" t="n">
        <x:v>18</x:v>
      </x:c>
      <x:c r="D9" s="16" t="str">
        <x:v>USD/hora</x:v>
      </x:c>
      <x:c r="E9" s="16" t="str">
        <x:v>Supuesto; no ahorro de caja demostrado</x:v>
      </x:c>
    </x:row>
    <x:row r="10" ht="28" customHeight="1">
      <x:c r="A10" s="16" t="str">
        <x:v>Casos elegibles para IA</x:v>
      </x:c>
      <x:c r="B10" s="18"/>
      <x:c r="C10" s="28" t="n">
        <x:v>0.7</x:v>
      </x:c>
      <x:c r="D10" s="16" t="str">
        <x:v>proporción</x:v>
      </x:c>
      <x:c r="E10" s="16" t="str">
        <x:v>Supuesto docente</x:v>
      </x:c>
    </x:row>
    <x:row r="11" ht="28" customHeight="1">
      <x:c r="A11" s="16" t="str">
        <x:v>Aceptación en casos elegibles</x:v>
      </x:c>
      <x:c r="B11" s="18"/>
      <x:c r="C11" s="28" t="n">
        <x:v>0.9</x:v>
      </x:c>
      <x:c r="D11" s="16" t="str">
        <x:v>proporción</x:v>
      </x:c>
      <x:c r="E11" s="16" t="str">
        <x:v>Supuesto docente</x:v>
      </x:c>
    </x:row>
    <x:row r="12" ht="28" customHeight="1">
      <x:c r="A12" s="16" t="str">
        <x:v>Llamadas principales por solicitud</x:v>
      </x:c>
      <x:c r="B12" s="18"/>
      <x:c r="C12" s="18" t="n">
        <x:v>2</x:v>
      </x:c>
      <x:c r="D12" s="16" t="str">
        <x:v>llamadas</x:v>
      </x:c>
      <x:c r="E12" s="16" t="str">
        <x:v>Supuesto docente</x:v>
      </x:c>
    </x:row>
    <x:row r="13" ht="28" customHeight="1">
      <x:c r="A13" s="16" t="str">
        <x:v>Llamadas adicionales por reintentos</x:v>
      </x:c>
      <x:c r="B13" s="18"/>
      <x:c r="C13" s="28" t="n">
        <x:v>0.15</x:v>
      </x:c>
      <x:c r="D13" s="16" t="str">
        <x:v>proporción</x:v>
      </x:c>
      <x:c r="E13" s="16" t="str">
        <x:v>Supuesto: multiplicador adicional de llamadas</x:v>
      </x:c>
    </x:row>
    <x:row r="14" ht="28" customHeight="1">
      <x:c r="A14" s="16" t="str">
        <x:v>Tokens de entrada por llamada</x:v>
      </x:c>
      <x:c r="B14" s="18"/>
      <x:c r="C14" s="18" t="n">
        <x:v>4000</x:v>
      </x:c>
      <x:c r="D14" s="16" t="str">
        <x:v>tokens</x:v>
      </x:c>
      <x:c r="E14" s="16" t="str">
        <x:v>Supuesto docente</x:v>
      </x:c>
    </x:row>
    <x:row r="15" ht="28" customHeight="1">
      <x:c r="A15" s="16" t="str">
        <x:v>Tokens de salida por llamada</x:v>
      </x:c>
      <x:c r="B15" s="18"/>
      <x:c r="C15" s="18" t="n">
        <x:v>1000</x:v>
      </x:c>
      <x:c r="D15" s="16" t="str">
        <x:v>tokens</x:v>
      </x:c>
      <x:c r="E15" s="16" t="str">
        <x:v>Supuesto docente</x:v>
      </x:c>
    </x:row>
    <x:row r="16" ht="28" customHeight="1">
      <x:c r="A16" s="16" t="str">
        <x:v>Precio por millón de tokens de entrada</x:v>
      </x:c>
      <x:c r="B16" s="18"/>
      <x:c r="C16" s="18" t="n">
        <x:v>2</x:v>
      </x:c>
      <x:c r="D16" s="16" t="str">
        <x:v>USD/millón</x:v>
      </x:c>
      <x:c r="E16" s="16" t="str">
        <x:v>Sonnet 5.5 tarifa publicada consultada 02/10/2026</x:v>
      </x:c>
    </x:row>
    <x:row r="17" ht="28" customHeight="1">
      <x:c r="A17" s="16" t="str">
        <x:v>Precio por millón de tokens de salida</x:v>
      </x:c>
      <x:c r="B17" s="18"/>
      <x:c r="C17" s="18" t="n">
        <x:v>10</x:v>
      </x:c>
      <x:c r="D17" s="16" t="str">
        <x:v>USD/millón</x:v>
      </x:c>
      <x:c r="E17" s="16" t="str">
        <x:v>Sonnet 5.5 tarifa publicada consultada 02/10/2026</x:v>
      </x:c>
    </x:row>
    <x:row r="18" ht="28" customHeight="1">
      <x:c r="A18" s="16" t="str">
        <x:v>Costo de herramientas por solicitud</x:v>
      </x:c>
      <x:c r="B18" s="18"/>
      <x:c r="C18" s="18" t="n">
        <x:v>0.02</x:v>
      </x:c>
      <x:c r="D18" s="16" t="str">
        <x:v>USD/solicitud</x:v>
      </x:c>
      <x:c r="E18" s="16" t="str">
        <x:v>Supuesto docente</x:v>
      </x:c>
    </x:row>
    <x:row r="19" ht="28" customHeight="1">
      <x:c r="A19" s="16" t="str">
        <x:v>Licencias de IA adicionales por mes</x:v>
      </x:c>
      <x:c r="B19" s="18"/>
      <x:c r="C19" s="18" t="n">
        <x:v>300</x:v>
      </x:c>
      <x:c r="D19" s="16" t="str">
        <x:v>USD/mes</x:v>
      </x:c>
      <x:c r="E19" s="16" t="str">
        <x:v>Supuesto docente; no cotización de proveedor</x:v>
      </x:c>
    </x:row>
    <x:row r="20" ht="28" customHeight="1">
      <x:c r="A20" s="16" t="str">
        <x:v>Orquestación adicional por mes</x:v>
      </x:c>
      <x:c r="B20" s="18"/>
      <x:c r="C20" s="18" t="n">
        <x:v>300</x:v>
      </x:c>
      <x:c r="D20" s="16" t="str">
        <x:v>USD/mes</x:v>
      </x:c>
      <x:c r="E20" s="16" t="str">
        <x:v>Supuesto docente</x:v>
      </x:c>
    </x:row>
    <x:row r="21" ht="28" customHeight="1">
      <x:c r="A21" s="16" t="str">
        <x:v>Datos y almacenamiento adicionales</x:v>
      </x:c>
      <x:c r="B21" s="18"/>
      <x:c r="C21" s="18" t="n">
        <x:v>250</x:v>
      </x:c>
      <x:c r="D21" s="16" t="str">
        <x:v>USD/mes</x:v>
      </x:c>
      <x:c r="E21" s="16" t="str">
        <x:v>Supuesto docente</x:v>
      </x:c>
    </x:row>
    <x:row r="22" ht="28" customHeight="1">
      <x:c r="A22" s="16" t="str">
        <x:v>Evaluación y observabilidad adicionales</x:v>
      </x:c>
      <x:c r="B22" s="18"/>
      <x:c r="C22" s="18" t="n">
        <x:v>200</x:v>
      </x:c>
      <x:c r="D22" s="16" t="str">
        <x:v>USD/mes</x:v>
      </x:c>
      <x:c r="E22" s="16" t="str">
        <x:v>Supuesto docente</x:v>
      </x:c>
    </x:row>
    <x:row r="23" ht="28" customHeight="1">
      <x:c r="A23" s="16" t="str">
        <x:v>Base tecnológica que permanece</x:v>
      </x:c>
      <x:c r="B23" s="18" t="n">
        <x:v>800</x:v>
      </x:c>
      <x:c r="C23" s="18" t="n">
        <x:v>800</x:v>
      </x:c>
      <x:c r="D23" s="16" t="str">
        <x:v>USD/mes</x:v>
      </x:c>
      <x:c r="E23" s="16" t="str">
        <x:v>Se conserva en ambas alternativas</x:v>
      </x:c>
    </x:row>
    <x:row r="24" ht="28" customHeight="1">
      <x:c r="A24" s="16" t="str">
        <x:v>Revisión por caso aceptado por IA</x:v>
      </x:c>
      <x:c r="B24" s="18"/>
      <x:c r="C24" s="18" t="n">
        <x:v>0.4</x:v>
      </x:c>
      <x:c r="D24" s="16" t="str">
        <x:v>minutos</x:v>
      </x:c>
      <x:c r="E24" s="16" t="str">
        <x:v>Supuesto: todos los aceptados se revisan</x:v>
      </x:c>
    </x:row>
    <x:row r="25" ht="28" customHeight="1">
      <x:c r="A25" s="16" t="str">
        <x:v>Implementación inicial incremental</x:v>
      </x:c>
      <x:c r="B25" s="18" t="n">
        <x:v>0</x:v>
      </x:c>
      <x:c r="C25" s="18" t="n">
        <x:v>12000</x:v>
      </x:c>
      <x:c r="D25" s="16" t="str">
        <x:v>USD</x:v>
      </x:c>
      <x:c r="E25" s="16" t="str">
        <x:v>Costo económico asumido; especificar caja en proyecto real</x:v>
      </x:c>
    </x:row>
    <x:row r="26" ht="28" customHeight="1">
      <x:c r="A26" s="16" t="str">
        <x:v>Horizonte del análisis</x:v>
      </x:c>
      <x:c r="B26" s="18" t="n">
        <x:v>12</x:v>
      </x:c>
      <x:c r="C26" s="18" t="n">
        <x:v>12</x:v>
      </x:c>
      <x:c r="D26" s="16" t="str">
        <x:v>meses</x:v>
      </x:c>
      <x:c r="E26" s="16" t="str">
        <x:v>Supuesto; sin descuento, impuestos ni financiamiento</x:v>
      </x:c>
    </x:row>
    <x:row r="27" ht="28" customHeight="1">
      <x:c r="A27" s="16"/>
      <x:c r="B27" s="16"/>
      <x:c r="C27" s="16"/>
      <x:c r="D27" s="16"/>
      <x:c r="E27" s="16"/>
    </x:row>
    <x:row r="28" ht="34" customHeight="1">
      <x:c r="A28" s="20" t="str">
        <x:v>Resultado mensual</x:v>
      </x:c>
      <x:c r="B28" s="20" t="str">
        <x:v>Sin IA</x:v>
      </x:c>
      <x:c r="C28" s="20" t="str">
        <x:v>Con IA</x:v>
      </x:c>
      <x:c r="D28" s="20" t="str">
        <x:v>Unidad</x:v>
      </x:c>
      <x:c r="E28" s="20" t="str">
        <x:v>Interpretación</x:v>
      </x:c>
    </x:row>
    <x:row r="29" ht="28" customHeight="1">
      <x:c r="A29" s="16" t="str">
        <x:v>Casos aceptados por IA</x:v>
      </x:c>
      <x:c r="B29" s="27" t="n">
        <x:f>0</x:f>
        <x:v>0</x:v>
      </x:c>
      <x:c r="C29" s="27" t="n">
        <x:f>C7*C10*C11</x:f>
        <x:v>6300</x:v>
      </x:c>
      <x:c r="D29" s="16" t="str">
        <x:v>casos</x:v>
      </x:c>
      <x:c r="E29" s="16" t="str">
        <x:v>Sin IA usa proceso humano</x:v>
      </x:c>
    </x:row>
    <x:row r="30" ht="28" customHeight="1">
      <x:c r="A30" s="16" t="str">
        <x:v>Casos atendidos por personas</x:v>
      </x:c>
      <x:c r="B30" s="27" t="n">
        <x:f>B7</x:f>
        <x:v>10000</x:v>
      </x:c>
      <x:c r="C30" s="27" t="n">
        <x:f>C7-C29</x:f>
        <x:v>3700</x:v>
      </x:c>
      <x:c r="D30" s="16" t="str">
        <x:v>casos</x:v>
      </x:c>
      <x:c r="E30" s="16" t="str">
        <x:v>Todos los demás casos reciben atención humana</x:v>
      </x:c>
    </x:row>
    <x:row r="31" ht="28" customHeight="1">
      <x:c r="A31" s="16" t="str">
        <x:v>Llamadas totales al modelo</x:v>
      </x:c>
      <x:c r="B31" s="27" t="n">
        <x:f>0</x:f>
        <x:v>0</x:v>
      </x:c>
      <x:c r="C31" s="27" t="n">
        <x:f>C7*C12*(1+C13)</x:f>
        <x:v>23000</x:v>
      </x:c>
      <x:c r="D31" s="16" t="str">
        <x:v>llamadas</x:v>
      </x:c>
      <x:c r="E31" s="16" t="str">
        <x:v>Incluye reintentos sobre solicitudes entrantes</x:v>
      </x:c>
    </x:row>
    <x:row r="32" ht="28" customHeight="1">
      <x:c r="A32" s="16" t="str">
        <x:v>Costo de tokens por llamada</x:v>
      </x:c>
      <x:c r="B32" s="24" t="n">
        <x:f>0</x:f>
        <x:v>0</x:v>
      </x:c>
      <x:c r="C32" s="24" t="n">
        <x:f>(C14*C16+C15*C17)/1000000</x:f>
        <x:v>0.018</x:v>
      </x:c>
      <x:c r="D32" s="16" t="str">
        <x:v>USD/llamada</x:v>
      </x:c>
      <x:c r="E32" s="16" t="str">
        <x:v>Sin caching, batch ni herramientas del proveedor</x:v>
      </x:c>
    </x:row>
    <x:row r="33" ht="28" customHeight="1">
      <x:c r="A33" s="16" t="str">
        <x:v>Costo del modelo al mes</x:v>
      </x:c>
      <x:c r="B33" s="22" t="n">
        <x:f>0</x:f>
        <x:v>0</x:v>
      </x:c>
      <x:c r="C33" s="22" t="n">
        <x:f>C31*C32</x:f>
        <x:v>413.99999999999994</x:v>
      </x:c>
      <x:c r="D33" s="16" t="str">
        <x:v>USD/mes</x:v>
      </x:c>
      <x:c r="E33" s="16" t="str">
        <x:v>Inferencia únicamente</x:v>
      </x:c>
    </x:row>
    <x:row r="34" ht="28" customHeight="1">
      <x:c r="A34" s="16" t="str">
        <x:v>Costo de herramientas al mes</x:v>
      </x:c>
      <x:c r="B34" s="22" t="n">
        <x:f>0</x:f>
        <x:v>0</x:v>
      </x:c>
      <x:c r="C34" s="22" t="n">
        <x:f>C7*C18</x:f>
        <x:v>200</x:v>
      </x:c>
      <x:c r="D34" s="16" t="str">
        <x:v>USD/mes</x:v>
      </x:c>
      <x:c r="E34" s="16" t="str">
        <x:v>Tarifa ficticia por solicitud</x:v>
      </x:c>
    </x:row>
    <x:row r="35" ht="28" customHeight="1">
      <x:c r="A35" s="16" t="str">
        <x:v>Horas de revisión de IA</x:v>
      </x:c>
      <x:c r="B35" s="22" t="n">
        <x:f>0</x:f>
        <x:v>0</x:v>
      </x:c>
      <x:c r="C35" s="22" t="n">
        <x:f>C29*C24/60</x:f>
        <x:v>42</x:v>
      </x:c>
      <x:c r="D35" s="16" t="str">
        <x:v>horas</x:v>
      </x:c>
      <x:c r="E35" s="16" t="str">
        <x:v>Tiempo aplicado a todos los aceptados</x:v>
      </x:c>
    </x:row>
    <x:row r="36" ht="28" customHeight="1">
      <x:c r="A36" s="16" t="str">
        <x:v>Horas de atención humana restante</x:v>
      </x:c>
      <x:c r="B36" s="22" t="n">
        <x:f>B7*B8/60</x:f>
        <x:v>1000</x:v>
      </x:c>
      <x:c r="C36" s="22" t="n">
        <x:f>C30*C8/60</x:f>
        <x:v>370</x:v>
      </x:c>
      <x:c r="D36" s="16" t="str">
        <x:v>horas</x:v>
      </x:c>
      <x:c r="E36" s="16" t="str">
        <x:v>Tiempo completo para casos no aceptados</x:v>
      </x:c>
    </x:row>
    <x:row r="37" ht="28" customHeight="1">
      <x:c r="A37" s="16" t="str">
        <x:v>Horas humanas totales</x:v>
      </x:c>
      <x:c r="B37" s="22" t="n">
        <x:f>SUM(B35:B36)</x:f>
        <x:v>1000</x:v>
      </x:c>
      <x:c r="C37" s="22" t="n">
        <x:f>SUM(C35:C36)</x:f>
        <x:v>412</x:v>
      </x:c>
      <x:c r="D37" s="16" t="str">
        <x:v>horas</x:v>
      </x:c>
      <x:c r="E37" s="16" t="str">
        <x:v>Revisión más atención restante</x:v>
      </x:c>
    </x:row>
    <x:row r="38" ht="28" customHeight="1">
      <x:c r="A38" s="16" t="str">
        <x:v>Costo económico del trabajo humano</x:v>
      </x:c>
      <x:c r="B38" s="22" t="n">
        <x:f>B37*B9</x:f>
        <x:v>18000</x:v>
      </x:c>
      <x:c r="C38" s="22" t="n">
        <x:f>C37*C9</x:f>
        <x:v>7416</x:v>
      </x:c>
      <x:c r="D38" s="16" t="str">
        <x:v>USD/mes</x:v>
      </x:c>
      <x:c r="E38" s="16" t="str">
        <x:v>No equivale a reducción efectiva de nómina</x:v>
      </x:c>
    </x:row>
    <x:row r="39" ht="28" customHeight="1">
      <x:c r="A39" s="16" t="str">
        <x:v>Costo tecnológico recurrente</x:v>
      </x:c>
      <x:c r="B39" s="22" t="n">
        <x:f>B23</x:f>
        <x:v>800</x:v>
      </x:c>
      <x:c r="C39" s="22" t="n">
        <x:f>SUM(C19:C23)+SUM(C33:C34)</x:f>
        <x:v>2464</x:v>
      </x:c>
      <x:c r="D39" s="16" t="str">
        <x:v>USD/mes</x:v>
      </x:c>
      <x:c r="E39" s="16" t="str">
        <x:v>Base retenida, licencias, datos, control e inferencia</x:v>
      </x:c>
    </x:row>
    <x:row r="40" ht="28" customHeight="1">
      <x:c r="A40" s="21" t="str">
        <x:v>Costo económico mensual total</x:v>
      </x:c>
      <x:c r="B40" s="23" t="n">
        <x:f>SUM(B38:B39)</x:f>
        <x:v>18800</x:v>
      </x:c>
      <x:c r="C40" s="23" t="n">
        <x:f>SUM(C38:C39)</x:f>
        <x:v>9880</x:v>
      </x:c>
      <x:c r="D40" s="21" t="str">
        <x:v>USD/mes</x:v>
      </x:c>
      <x:c r="E40" s="21" t="str">
        <x:v>Tecnología más trabajo humano</x:v>
      </x:c>
    </x:row>
    <x:row r="41" ht="28" customHeight="1">
      <x:c r="A41" s="16" t="str">
        <x:v>Casos resueltos totales</x:v>
      </x:c>
      <x:c r="B41" s="27" t="n">
        <x:f>B30</x:f>
        <x:v>10000</x:v>
      </x:c>
      <x:c r="C41" s="27" t="n">
        <x:f>SUM(C29:C30)</x:f>
        <x:v>10000</x:v>
      </x:c>
      <x:c r="D41" s="16" t="str">
        <x:v>casos</x:v>
      </x:c>
      <x:c r="E41" s="16" t="str">
        <x:v>Incluye trabajo humano; supone calidad equivalente</x:v>
      </x:c>
    </x:row>
    <x:row r="42" ht="28" customHeight="1">
      <x:c r="A42" s="21" t="str">
        <x:v>Costo económico por caso resuelto</x:v>
      </x:c>
      <x:c r="B42" s="25" t="n">
        <x:f>IF(B41=0,"Sin resultados",B40/B41)</x:f>
        <x:v>1.88</x:v>
      </x:c>
      <x:c r="C42" s="25" t="n">
        <x:f>IF(C41=0,"Sin resultados",C40/C41)</x:f>
        <x:v>0.988</x:v>
      </x:c>
      <x:c r="D42" s="21" t="str">
        <x:v>USD/caso</x:v>
      </x:c>
      <x:c r="E42" s="21" t="str">
        <x:v>Mismo denominador de calidad</x:v>
      </x:c>
    </x:row>
    <x:row r="43" ht="28" customHeight="1">
      <x:c r="A43" s="16"/>
      <x:c r="B43" s="22"/>
      <x:c r="C43" s="22"/>
      <x:c r="D43" s="16"/>
      <x:c r="E43" s="16"/>
    </x:row>
    <x:row r="44" ht="28" customHeight="1">
      <x:c r="A44" s="21" t="str">
        <x:v>TCO económico del horizonte</x:v>
      </x:c>
      <x:c r="B44" s="23" t="n">
        <x:f>B25+B40*B26</x:f>
        <x:v>225600</x:v>
      </x:c>
      <x:c r="C44" s="23" t="n">
        <x:f>C25+C40*C26</x:f>
        <x:v>130560</x:v>
      </x:c>
      <x:c r="D44" s="21" t="str">
        <x:v>USD</x:v>
      </x:c>
      <x:c r="E44" s="21" t="str">
        <x:v>Costo inicial más costos recurrentes</x:v>
      </x:c>
    </x:row>
    <x:row r="45" ht="28" customHeight="1">
      <x:c r="A45" s="21" t="str">
        <x:v>Diferencia de costo económico</x:v>
      </x:c>
      <x:c r="B45" s="23" t="n">
        <x:f>0</x:f>
        <x:v>0</x:v>
      </x:c>
      <x:c r="C45" s="23" t="n">
        <x:f>B44-C44</x:f>
        <x:v>95040</x:v>
      </x:c>
      <x:c r="D45" s="21" t="str">
        <x:v>USD</x:v>
      </x:c>
      <x:c r="E45" s="21" t="str">
        <x:v>TCO sin IA menos TCO con IA</x:v>
      </x:c>
    </x:row>
    <x:row r="46" ht="28" customHeight="1">
      <x:c r="A46" s="21" t="str">
        <x:v>Capacidad humana liberada al mes</x:v>
      </x:c>
      <x:c r="B46" s="23" t="n">
        <x:f>0</x:f>
        <x:v>0</x:v>
      </x:c>
      <x:c r="C46" s="23" t="n">
        <x:f>B37-C37</x:f>
        <x:v>588</x:v>
      </x:c>
      <x:c r="D46" s="21" t="str">
        <x:v>horas</x:v>
      </x:c>
      <x:c r="E46" s="21" t="str">
        <x:v>Capacidad, no ahorro monetario automático</x:v>
      </x:c>
    </x:row>
    <x:row r="47" ht="28" customHeight="1">
      <x:c r="A47" s="21" t="str">
        <x:v>Incremento tecnológico mensual</x:v>
      </x:c>
      <x:c r="B47" s="23" t="n">
        <x:f>0</x:f>
        <x:v>0</x:v>
      </x:c>
      <x:c r="C47" s="23" t="n">
        <x:f>C39-B39</x:f>
        <x:v>1664</x:v>
      </x:c>
      <x:c r="D47" s="21" t="str">
        <x:v>USD/mes</x:v>
      </x:c>
      <x:c r="E47" s="21" t="str">
        <x:v>Mayor gasto de tecnología respecto al baseline</x:v>
      </x:c>
    </x:row>
    <x:row r="48" ht="28" customHeight="1">
      <x:c r="A48" s="21" t="str">
        <x:v>Recuperación económica teórica</x:v>
      </x:c>
      <x:c r="B48" s="23" t="n">
        <x:f>0</x:f>
        <x:v>0</x:v>
      </x:c>
      <x:c r="C48" s="23" t="n">
        <x:f>IF(B40&lt;=C40,"No se recupera",C25/(B40-C40))</x:f>
        <x:v>1.345291479820628</x:v>
      </x:c>
      <x:c r="D48" s="21" t="str">
        <x:v>meses</x:v>
      </x:c>
      <x:c r="E48" s="21" t="str">
        <x:v>Supone beneficios realizables y volumen estable</x:v>
      </x:c>
    </x:row>
    <x:row r="49" ht="28" customHeight="1">
      <x:c r="A49" s="16"/>
      <x:c r="B49" s="22"/>
      <x:c r="C49" s="22"/>
      <x:c r="D49" s="16"/>
      <x:c r="E49" s="16"/>
    </x:row>
    <x:row r="50" ht="28" customHeight="1">
      <x:c r="A50" s="21" t="str">
        <x:v>Costo tecnológico por caso aceptado por IA</x:v>
      </x:c>
      <x:c r="B50" s="26" t="n">
        <x:f>0</x:f>
        <x:v>0</x:v>
      </x:c>
      <x:c r="C50" s="26" t="n">
        <x:f>IF(C29=0,"Sin resultados",C39/C29)</x:f>
        <x:v>0.39111111111111113</x:v>
      </x:c>
      <x:c r="D50" s="21" t="str">
        <x:v>USD/caso</x:v>
      </x:c>
      <x:c r="E50" s="21" t="str">
        <x:v>Asigna costo tecnológico completo a los aceptados</x:v>
      </x:c>
    </x:row>
    <x:row r="51" ht="28" customHeight="1">
      <x:c r="A51" s="21" t="str">
        <x:v>Costo del modelo por caso aceptado por IA</x:v>
      </x:c>
      <x:c r="B51" s="26" t="n">
        <x:f>0</x:f>
        <x:v>0</x:v>
      </x:c>
      <x:c r="C51" s="26" t="n">
        <x:f>IF(C29=0,"Sin resultados",C33/C29)</x:f>
        <x:v>0.06571428571428571</x:v>
      </x:c>
      <x:c r="D51" s="21" t="str">
        <x:v>USD/caso</x:v>
      </x:c>
      <x:c r="E51" s="21" t="str">
        <x:v>Muestra la diferencia entre modelo y sistema</x:v>
      </x:c>
    </x:row>
    <x:row r="52" ht="28" customHeight="1">
      <x:c r="A52" s="16"/>
      <x:c r="B52" s="16"/>
      <x:c r="C52" s="16"/>
      <x:c r="D52" s="16"/>
      <x:c r="E52" s="16"/>
    </x:row>
    <x:row r="53" ht="28" customHeight="1">
      <x:c r="A53" s="16"/>
      <x:c r="B53" s="16"/>
      <x:c r="C53" s="16"/>
      <x:c r="D53" s="16"/>
      <x:c r="E53" s="16"/>
    </x:row>
    <x:row r="54" ht="55" customHeight="1">
      <x:c r="A54" s="16" t="str">
        <x:v>Fuente de tarifas</x:v>
      </x:c>
      <x:c r="B54" s="16" t="str">
        <x:v>https://claude.com/pricing</x:v>
      </x:c>
      <x:c r="C54" s="16"/>
      <x:c r="D54" s="16"/>
      <x:c r="E54" s="16" t="str">
        <x:v>Reverificar antes de contratar. No incluye impuestos.</x:v>
      </x:c>
    </x:row>
  </x:sheetData>
  <x:dataValidations count="2">
    <x:dataValidation type="decimal" operator="between" sqref="C10:C11">
      <x:formula1>0</x:formula1>
      <x:formula2>1</x:formula2>
    </x:dataValidation>
    <x:dataValidation type="decimal" operator="between" sqref="C13">
      <x:formula1>0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3" hidden="0" customWidth="1"/>
    <x:col min="2" max="2" width="28" hidden="0" customWidth="1"/>
    <x:col min="3" max="3" width="46" hidden="0" customWidth="1"/>
    <x:col min="4" max="4" width="24" hidden="0" customWidth="1"/>
    <x:col min="5" max="5" width="43" hidden="0" customWidth="1"/>
    <x:col min="6" max="6" width="69" hidden="0" customWidth="1"/>
    <x:col min="7" max="7" width="72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Precios públicos y unidad de contratación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" t="str">
        <x:v>13 referencias seleccionadas. Precios sin homogeneizar monedas ni impuestos; no equivalen al TCO. Reverificar plan y país.</x:v>
      </x:c>
      <x:c r="B4" s="1"/>
      <x:c r="C4" s="1"/>
      <x:c r="D4" s="1"/>
      <x:c r="E4" s="1"/>
      <x:c r="F4" s="1"/>
      <x:c r="G4" s="1"/>
      <x:c r="H4" s="1"/>
    </x:row>
    <x:row r="5" ht="46" customHeight="1">
      <x:c r="A5" s="10" t="str">
        <x:v>Producto</x:v>
      </x:c>
      <x:c r="B5" s="10" t="str">
        <x:v>Plan</x:v>
      </x:c>
      <x:c r="C5" s="10" t="str">
        <x:v>Tarifa publicada de referencia</x:v>
      </x:c>
      <x:c r="D5" s="10" t="str">
        <x:v>Unidad</x:v>
      </x:c>
      <x:c r="E5" s="10" t="str">
        <x:v>Periodicidad y compromiso</x:v>
      </x:c>
      <x:c r="F5" s="10" t="str">
        <x:v>Condición que afecta el presupuesto</x:v>
      </x:c>
      <x:c r="G5" s="10" t="str">
        <x:v>Fuente oficial</x:v>
      </x:c>
      <x:c r="H5" s="10" t="str">
        <x:v>Revisión</x:v>
      </x:c>
    </x:row>
    <x:row r="6" ht="90" customHeight="1">
      <x:c r="A6" s="11" t="str">
        <x:v>ChatGPT Business</x:v>
      </x:c>
      <x:c r="B6" s="11" t="str">
        <x:v>Standard</x:v>
      </x:c>
      <x:c r="C6" s="11" t="str">
        <x:v>USD 20/mes (anual) o USD 25/mes (mensual)</x:v>
      </x:c>
      <x:c r="D6" s="11" t="str">
        <x:v>usuario/mes</x:v>
      </x:c>
      <x:c r="E6" s="11" t="str">
        <x:v>20 con facturación anual; 25 con mensual</x:v>
      </x:c>
      <x:c r="F6" s="11" t="str">
        <x:v>Mínimo dos accesos; límites y uso adicional se verifican; precio depende del país.</x:v>
      </x:c>
      <x:c r="G6" s="11" t="str">
        <x:v>https://help.openai.com/en/articles/8542115-chatgpt-business-general-faq</x:v>
      </x:c>
      <x:c r="H6" s="11" t="str">
        <x:v>2026-10-02</x:v>
      </x:c>
    </x:row>
    <x:row r="7" ht="90" customHeight="1">
      <x:c r="A7" s="6" t="str">
        <x:v>Claude</x:v>
      </x:c>
      <x:c r="B7" s="6" t="str">
        <x:v>Pro</x:v>
      </x:c>
      <x:c r="C7" s="6" t="str">
        <x:v>USD 20 mensual o USD 200 por año</x:v>
      </x:c>
      <x:c r="D7" s="6" t="str">
        <x:v>usuario</x:v>
      </x:c>
      <x:c r="E7" s="6" t="str">
        <x:v>Pago mensual o anual</x:v>
      </x:c>
      <x:c r="F7" s="6" t="str">
        <x:v>Límites de uso; API e integraciones se dimensionan aparte.</x:v>
      </x:c>
      <x:c r="G7" s="6" t="str">
        <x:v>https://claude.com/pricing</x:v>
      </x:c>
      <x:c r="H7" s="6" t="str">
        <x:v>2026-10-02</x:v>
      </x:c>
    </x:row>
    <x:row r="8" ht="90" customHeight="1">
      <x:c r="A8" s="11" t="str">
        <x:v>Claude</x:v>
      </x:c>
      <x:c r="B8" s="11" t="str">
        <x:v>Team Standard</x:v>
      </x:c>
      <x:c r="C8" s="11" t="str">
        <x:v>USD 20/mes (anual) o USD 25/mes (mensual)</x:v>
      </x:c>
      <x:c r="D8" s="11" t="str">
        <x:v>usuario/mes</x:v>
      </x:c>
      <x:c r="E8" s="11" t="str">
        <x:v>20 con facturación anual; 25 con mensual</x:v>
      </x:c>
      <x:c r="F8" s="11" t="str">
        <x:v>Revisar número de usuarios y uso incluido del plan.</x:v>
      </x:c>
      <x:c r="G8" s="11" t="str">
        <x:v>https://claude.com/pricing</x:v>
      </x:c>
      <x:c r="H8" s="11" t="str">
        <x:v>2026-10-02</x:v>
      </x:c>
    </x:row>
    <x:row r="9" ht="90" customHeight="1">
      <x:c r="A9" s="6" t="str">
        <x:v>Claude</x:v>
      </x:c>
      <x:c r="B9" s="6" t="str">
        <x:v>Enterprise</x:v>
      </x:c>
      <x:c r="C9" s="6" t="str">
        <x:v>USD 20 por usuario/mes más uso API</x:v>
      </x:c>
      <x:c r="D9" s="6" t="str">
        <x:v>usuario y consumo</x:v>
      </x:c>
      <x:c r="E9" s="6" t="str">
        <x:v>Asiento facturado anualmente</x:v>
      </x:c>
      <x:c r="F9" s="6" t="str">
        <x:v>El precio de asiento no incluye el consumo; revisar acuerdo y controles.</x:v>
      </x:c>
      <x:c r="G9" s="6" t="str">
        <x:v>https://claude.com/pricing</x:v>
      </x:c>
      <x:c r="H9" s="6" t="str">
        <x:v>2026-10-02</x:v>
      </x:c>
    </x:row>
    <x:row r="10" ht="90" customHeight="1">
      <x:c r="A10" s="11" t="str">
        <x:v>Claude API</x:v>
      </x:c>
      <x:c r="B10" s="11" t="str">
        <x:v>Sonnet 5.5</x:v>
      </x:c>
      <x:c r="C10" s="11" t="str">
        <x:v>USD 2 entrada; USD 10 salida</x:v>
      </x:c>
      <x:c r="D10" s="11" t="str">
        <x:v>millón de tokens</x:v>
      </x:c>
      <x:c r="E10" s="11" t="str">
        <x:v>Por consumo</x:v>
      </x:c>
      <x:c r="F10" s="11" t="str">
        <x:v>Tarifa estándar sin cache, batch, herramientas, impuestos ni descuentos.</x:v>
      </x:c>
      <x:c r="G10" s="11" t="str">
        <x:v>https://claude.com/pricing</x:v>
      </x:c>
      <x:c r="H10" s="11" t="str">
        <x:v>2026-10-02</x:v>
      </x:c>
    </x:row>
    <x:row r="11" ht="90" customHeight="1">
      <x:c r="A11" s="6" t="str">
        <x:v>n8n Cloud</x:v>
      </x:c>
      <x:c r="B11" s="6" t="str">
        <x:v>Starter</x:v>
      </x:c>
      <x:c r="C11" s="6" t="str">
        <x:v>EUR 20</x:v>
      </x:c>
      <x:c r="D11" s="6" t="str">
        <x:v>mes</x:v>
      </x:c>
      <x:c r="E11" s="6" t="str">
        <x:v>Facturado anualmente</x:v>
      </x:c>
      <x:c r="F11" s="6" t="str">
        <x:v>2 500 ejecuciones/mes; identificar IA incluida y consumo adicional del recorrido.</x:v>
      </x:c>
      <x:c r="G11" s="6" t="str">
        <x:v>https://n8n.io/pricing/</x:v>
      </x:c>
      <x:c r="H11" s="6" t="str">
        <x:v>2026-10-02</x:v>
      </x:c>
    </x:row>
    <x:row r="12" ht="90" customHeight="1">
      <x:c r="A12" s="11" t="str">
        <x:v>n8n Cloud</x:v>
      </x:c>
      <x:c r="B12" s="11" t="str">
        <x:v>Pro</x:v>
      </x:c>
      <x:c r="C12" s="11" t="str">
        <x:v>EUR 50</x:v>
      </x:c>
      <x:c r="D12" s="11" t="str">
        <x:v>mes</x:v>
      </x:c>
      <x:c r="E12" s="11" t="str">
        <x:v>Facturado anualmente</x:v>
      </x:c>
      <x:c r="F12" s="11" t="str">
        <x:v>10 000 ejecuciones/mes; las ejecuciones no equivalen a resultados aceptados.</x:v>
      </x:c>
      <x:c r="G12" s="11" t="str">
        <x:v>https://n8n.io/pricing/</x:v>
      </x:c>
      <x:c r="H12" s="11" t="str">
        <x:v>2026-10-02</x:v>
      </x:c>
    </x:row>
    <x:row r="13" ht="90" customHeight="1">
      <x:c r="A13" s="6" t="str">
        <x:v>Make</x:v>
      </x:c>
      <x:c r="B13" s="6" t="str">
        <x:v>Free</x:v>
      </x:c>
      <x:c r="C13" s="6" t="str">
        <x:v>USD 0</x:v>
      </x:c>
      <x:c r="D13" s="6" t="str">
        <x:v>mes</x:v>
      </x:c>
      <x:c r="E13" s="6" t="str">
        <x:v>Plan gratuito</x:v>
      </x:c>
      <x:c r="F13" s="6" t="str">
        <x:v>Hasta 1 000 créditos/mes; investigar consumo IA y requisitos de cada acción.</x:v>
      </x:c>
      <x:c r="G13" s="6" t="str">
        <x:v>https://www.make.com/en/pricing</x:v>
      </x:c>
      <x:c r="H13" s="6" t="str">
        <x:v>2026-10-02</x:v>
      </x:c>
    </x:row>
    <x:row r="14" ht="90" customHeight="1">
      <x:c r="A14" s="11" t="str">
        <x:v>Microsoft Copilot Studio</x:v>
      </x:c>
      <x:c r="B14" s="11" t="str">
        <x:v>Paquete de créditos</x:v>
      </x:c>
      <x:c r="C14" s="11" t="str">
        <x:v>USD 200</x:v>
      </x:c>
      <x:c r="D14" s="11" t="str">
        <x:v>paquete/mes</x:v>
      </x:c>
      <x:c r="E14" s="11" t="str">
        <x:v>25 000 Copilot Credits por paquete</x:v>
      </x:c>
      <x:c r="F14" s="11" t="str">
        <x:v>Consumo de créditos varía por acción o respuesta; no son 25 000 casos resueltos.</x:v>
      </x:c>
      <x:c r="G14" s="11" t="str">
        <x:v>https://www.microsoft.com/en-us/copilot/products/copilot-studio</x:v>
      </x:c>
      <x:c r="H14" s="11" t="str">
        <x:v>2026-10-02</x:v>
      </x:c>
    </x:row>
    <x:row r="15" ht="90" customHeight="1">
      <x:c r="A15" s="6" t="str">
        <x:v>Fin AI Agent</x:v>
      </x:c>
      <x:c r="B15" s="6" t="str">
        <x:v>Con helpdesk existente</x:v>
      </x:c>
      <x:c r="C15" s="6" t="str">
        <x:v>USD 0,99</x:v>
      </x:c>
      <x:c r="D15" s="6" t="str">
        <x:v>outcome</x:v>
      </x:c>
      <x:c r="E15" s="6" t="str">
        <x:v>Mínimo 50 outcomes/mes</x:v>
      </x:c>
      <x:c r="F15" s="6" t="str">
        <x:v>Outcome puede incluir procedimiento que termina en derivación; revisar definición y plataforma.</x:v>
      </x:c>
      <x:c r="G15" s="6" t="str">
        <x:v>https://fin.ai/pricing</x:v>
      </x:c>
      <x:c r="H15" s="6" t="str">
        <x:v>2026-10-02</x:v>
      </x:c>
    </x:row>
    <x:row r="16" ht="90" customHeight="1">
      <x:c r="A16" s="11" t="str">
        <x:v>Power BI</x:v>
      </x:c>
      <x:c r="B16" s="11" t="str">
        <x:v>Pro</x:v>
      </x:c>
      <x:c r="C16" s="11" t="str">
        <x:v>USD 14</x:v>
      </x:c>
      <x:c r="D16" s="11" t="str">
        <x:v>usuario/mes</x:v>
      </x:c>
      <x:c r="E16" s="11" t="str">
        <x:v>Pagado anualmente</x:v>
      </x:c>
      <x:c r="F16" s="11" t="str">
        <x:v>Precio del plan BI; por sí solo no habilita Copilot. Presupuestar capacidad compatible.</x:v>
      </x:c>
      <x:c r="G16" s="11" t="str">
        <x:v>https://www.microsoft.com/en-us/power-platform/products/power-bi/pricing</x:v>
      </x:c>
      <x:c r="H16" s="11" t="str">
        <x:v>2026-10-02</x:v>
      </x:c>
    </x:row>
    <x:row r="17" ht="90" customHeight="1">
      <x:c r="A17" s="6" t="str">
        <x:v>Power BI</x:v>
      </x:c>
      <x:c r="B17" s="6" t="str">
        <x:v>Premium Per User</x:v>
      </x:c>
      <x:c r="C17" s="6" t="str">
        <x:v>USD 24</x:v>
      </x:c>
      <x:c r="D17" s="6" t="str">
        <x:v>usuario/mes</x:v>
      </x:c>
      <x:c r="E17" s="6" t="str">
        <x:v>Pagado anualmente</x:v>
      </x:c>
      <x:c r="F17" s="6" t="str">
        <x:v>Precio del plan BI; por sí solo no habilita Copilot. Presupuestar capacidad compatible.</x:v>
      </x:c>
      <x:c r="G17" s="6" t="str">
        <x:v>https://www.microsoft.com/en-us/power-platform/products/power-bi/pricing</x:v>
      </x:c>
      <x:c r="H17" s="6" t="str">
        <x:v>2026-10-02</x:v>
      </x:c>
    </x:row>
    <x:row r="18" ht="90" customHeight="1">
      <x:c r="A18" s="11" t="str">
        <x:v>Google Workspace</x:v>
      </x:c>
      <x:c r="B18" s="11" t="str">
        <x:v>Business Standard</x:v>
      </x:c>
      <x:c r="C18" s="11" t="str">
        <x:v>USD 14</x:v>
      </x:c>
      <x:c r="D18" s="11" t="str">
        <x:v>usuario/mes</x:v>
      </x:c>
      <x:c r="E18" s="11" t="str">
        <x:v>Referencia regular con compromiso anual</x:v>
      </x:c>
      <x:c r="F18" s="11" t="str">
        <x:v>Excluye promoción temporal; comprobar cuenta, país, periodo y funciones incluidas.</x:v>
      </x:c>
      <x:c r="G18" s="11" t="str">
        <x:v>https://workspace.google.com/pricing</x:v>
      </x:c>
      <x:c r="H18" s="11" t="str">
        <x:v>2026-10-02</x:v>
      </x:c>
    </x:row>
  </x:sheetData>
  <x:pageMargins left="0.7" right="0.7" top="0.75" bottom="0.75" header="0.3" footer="0.3"/>
  <x:tableParts count="1">
    <x:tablePart xmlns:r="http://schemas.openxmlformats.org/officeDocument/2006/relationships" r:id="R226dd18e017d4450"/>
  </x:tableParts>
</x:worksheet>
</file>

<file path=xl/worksheets/sheet6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54" hidden="0" customWidth="1"/>
    <x:col min="3" max="3" width="47" hidden="0" customWidth="1"/>
    <x:col min="4" max="4" width="55" hidden="0" customWidth="1"/>
    <x:col min="5" max="5" width="49" hidden="0" customWidth="1"/>
    <x:col min="6" max="6" width="72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Tableau y alternativas de análisis empresarial</x:v>
      </x:c>
      <x:c r="B2" s="1"/>
      <x:c r="C2" s="1"/>
      <x:c r="D2" s="1"/>
      <x:c r="E2" s="1"/>
      <x:c r="F2" s="1"/>
    </x:row>
    <x:row r="3">
      <x:c r="A3" s="3"/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46" customHeight="1">
      <x:c r="A5" s="10" t="str">
        <x:v>Alternativa</x:v>
      </x:c>
      <x:c r="B5" s="10" t="str">
        <x:v>Capacidad comprobada en documentación</x:v>
      </x:c>
      <x:c r="C5" s="10" t="str">
        <x:v>Cuándo elegirla</x:v>
      </x:c>
      <x:c r="D5" s="10" t="str">
        <x:v>Qué verificar antes de clase</x:v>
      </x:c>
      <x:c r="E5" s="10" t="str">
        <x:v>Recomendación docente</x:v>
      </x:c>
      <x:c r="F5" s="10" t="str">
        <x:v>Fuente</x:v>
      </x:c>
    </x:row>
    <x:row r="6" ht="95" customHeight="1">
      <x:c r="A6" s="11" t="str">
        <x:v>Tableau Agent y Pulse</x:v>
      </x:c>
      <x:c r="B6" s="11" t="str">
        <x:v>Visualizaciones y cálculos con conversación; dashboards y métricas definidas</x:v>
      </x:c>
      <x:c r="C6" s="11" t="str">
        <x:v>Cierre de analítica empresarial con un caso ejecutivo</x:v>
      </x:c>
      <x:c r="D6" s="11" t="str">
        <x:v>Sitio AI habilitado, roles y métricas; dashboard Q&amp;A en beta y solo en inglés</x:v>
      </x:c>
      <x:c r="E6" s="11" t="str">
        <x:v>Herramienta central del cierre; Tableau Next como introducción</x:v>
      </x:c>
      <x:c r="F6" s="11" t="str">
        <x:v>https://help.tableau.com/current/online/en-us/web_author_einstein_faq.htm</x:v>
      </x:c>
    </x:row>
    <x:row r="7" ht="95" customHeight="1">
      <x:c r="A7" s="6" t="str">
        <x:v>Claude</x:v>
      </x:c>
      <x:c r="B7" s="6" t="str">
        <x:v>Código, archivos y Excel con fórmulas</x:v>
      </x:c>
      <x:c r="C7" s="6" t="str">
        <x:v>Apoyo para comprobación independiente</x:v>
      </x:c>
      <x:c r="D7" s="6" t="str">
        <x:v>Código habilitado, cuota y fórmulas descargables</x:v>
      </x:c>
      <x:c r="E7" s="6" t="str">
        <x:v>Verificación complementaria de cálculos</x:v>
      </x:c>
      <x:c r="F7" s="6" t="str">
        <x:v>https://support.claude.com/en/articles/12111783-create-and-edit-files-with-claude</x:v>
      </x:c>
    </x:row>
    <x:row r="8" ht="95" customHeight="1">
      <x:c r="A8" s="11" t="str">
        <x:v>Microsoft 365 Copilot</x:v>
      </x:c>
      <x:c r="B8" s="11" t="str">
        <x:v>Asistencia en Excel y aplicaciones de la suite</x:v>
      </x:c>
      <x:c r="C8" s="11" t="str">
        <x:v>Empresa que ya trabaja en Microsoft 365</x:v>
      </x:c>
      <x:c r="D8" s="11" t="str">
        <x:v>Licencia, disponibilidad y estructura del libro</x:v>
      </x:c>
      <x:c r="E8" s="11" t="str">
        <x:v>Opción integrada para contexto Microsoft</x:v>
      </x:c>
      <x:c r="F8" s="11" t="str">
        <x:v>https://www.microsoft.com/en-us/copilot/solutions/business</x:v>
      </x:c>
    </x:row>
    <x:row r="9" ht="95" customHeight="1">
      <x:c r="A9" s="6" t="str">
        <x:v>Power BI Copilot</x:v>
      </x:c>
      <x:c r="B9" s="6" t="str">
        <x:v>Consulta y resumen sobre informes y modelo semántico</x:v>
      </x:c>
      <x:c r="C9" s="6" t="str">
        <x:v>Analítica recurrente con modelos gobernados</x:v>
      </x:c>
      <x:c r="D9" s="6" t="str">
        <x:v>Capacidad, región, permisos y KPI definidos</x:v>
      </x:c>
      <x:c r="E9" s="6" t="str">
        <x:v>Alternativa empresarial para comparar</x:v>
      </x:c>
      <x:c r="F9" s="6" t="str">
        <x:v>https://learn.microsoft.com/en-us/power-bi/create-reports/copilot-introduction</x:v>
      </x:c>
    </x:row>
  </x:sheetData>
  <x:pageMargins left="0.7" right="0.7" top="0.75" bottom="0.75" header="0.3" footer="0.3"/>
  <x:tableParts count="1">
    <x:tablePart xmlns:r="http://schemas.openxmlformats.org/officeDocument/2006/relationships" r:id="Raed287f82ad84a1f"/>
  </x:tableParts>
</x:worksheet>
</file>

<file path=xl/worksheets/sheet7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44" hidden="0" customWidth="1"/>
    <x:col min="3" max="3" width="29" hidden="0" customWidth="1"/>
    <x:col min="4" max="4" width="62" hidden="0" customWidth="1"/>
    <x:col min="5" max="5" width="48" hidden="0" customWidth="1"/>
    <x:col min="6" max="6" width="58" hidden="0" customWidth="1"/>
    <x:col min="7" max="7" width="50" hidden="0" customWidth="1"/>
    <x:col min="8" max="8" width="72" hidden="0" customWidth="1"/>
    <x:col min="9" max="9" width="15" hidden="0" customWidth="1"/>
    <x:col min="10" max="10" width="4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Catálogo de herramientas y condiciones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6" customHeight="1">
      <x:c r="A5" s="10" t="str">
        <x:v>ID</x:v>
      </x:c>
      <x:c r="B5" s="10" t="str">
        <x:v>Herramienta</x:v>
      </x:c>
      <x:c r="C5" s="10" t="str">
        <x:v>Familia</x:v>
      </x:c>
      <x:c r="D5" s="10" t="str">
        <x:v>Capacidad documentada</x:v>
      </x:c>
      <x:c r="E5" s="10" t="str">
        <x:v>Entradas</x:v>
      </x:c>
      <x:c r="F5" s="10" t="str">
        <x:v>Condición que verificar</x:v>
      </x:c>
      <x:c r="G5" s="10" t="str">
        <x:v>Unidad que presupuestar</x:v>
      </x:c>
      <x:c r="H5" s="10" t="str">
        <x:v>Fuente oficial</x:v>
      </x:c>
      <x:c r="I5" s="10" t="str">
        <x:v>Revisión</x:v>
      </x:c>
      <x:c r="J5" s="10" t="str">
        <x:v>Tipo de evidencia</x:v>
      </x:c>
    </x:row>
    <x:row r="6" ht="95" customHeight="1">
      <x:c r="A6" s="11" t="str">
        <x:v>T01</x:v>
      </x:c>
      <x:c r="B6" s="11" t="str">
        <x:v>ChatGPT</x:v>
      </x:c>
      <x:c r="C6" s="11" t="str">
        <x:v>Asistencia general</x:v>
      </x:c>
      <x:c r="D6" s="11" t="str">
        <x:v>Trabajar con fuentes y producir documentos, hojas y otros archivos para revisión.</x:v>
      </x:c>
      <x:c r="E6" s="11" t="str">
        <x:v>Archivos y encargo con criterios de revisión</x:v>
      </x:c>
      <x:c r="F6" s="11" t="str">
        <x:v>Registrar superficie y plan; validar cálculos y archivos producidos.</x:v>
      </x:c>
      <x:c r="G6" s="11" t="str">
        <x:v>Usuarios, plan y uso permitido; API se presupuesta aparte</x:v>
      </x:c>
      <x:c r="H6" s="11" t="str">
        <x:v>https://learn.chatgpt.com/docs/artifacts-viewer</x:v>
      </x:c>
      <x:c r="I6" s="11" t="str">
        <x:v>2026-10-02</x:v>
      </x:c>
      <x:c r="J6" s="11" t="str">
        <x:v>Documentación del proveedor; sin prueba comparativa propia</x:v>
      </x:c>
    </x:row>
    <x:row r="7" ht="95" customHeight="1">
      <x:c r="A7" s="6" t="str">
        <x:v>T02</x:v>
      </x:c>
      <x:c r="B7" s="6" t="str">
        <x:v>Claude</x:v>
      </x:c>
      <x:c r="C7" s="6" t="str">
        <x:v>Asistencia y análisis</x:v>
      </x:c>
      <x:c r="D7" s="6" t="str">
        <x:v>Ejecutar código, analizar CSV y crear Excel con fórmulas y visualizaciones.</x:v>
      </x:c>
      <x:c r="E7" s="6" t="str">
        <x:v>CSV, TSV, documentos y archivos de proyecto</x:v>
      </x:c>
      <x:c r="F7" s="6" t="str">
        <x:v>Comprobar ejecución de código, transformaciones y fórmulas; límites por cuenta.</x:v>
      </x:c>
      <x:c r="G7" s="6" t="str">
        <x:v>Plan por usuario, límites y consumo API separado</x:v>
      </x:c>
      <x:c r="H7" s="6" t="str">
        <x:v>https://support.claude.com/en/articles/12111783-create-and-edit-files-with-claude</x:v>
      </x:c>
      <x:c r="I7" s="6" t="str">
        <x:v>2026-10-02</x:v>
      </x:c>
      <x:c r="J7" s="6" t="str">
        <x:v>Documentación del proveedor; sin prueba comparativa propia</x:v>
      </x:c>
    </x:row>
    <x:row r="8" ht="95" customHeight="1">
      <x:c r="A8" s="11" t="str">
        <x:v>T03</x:v>
      </x:c>
      <x:c r="B8" s="11" t="str">
        <x:v>Gemini en Google Workspace</x:v>
      </x:c>
      <x:c r="C8" s="11" t="str">
        <x:v>Suite de productividad</x:v>
      </x:c>
      <x:c r="D8" s="11" t="str">
        <x:v>Asistir correo, documentos, reuniones y trabajo con Sheets dentro de Workspace.</x:v>
      </x:c>
      <x:c r="E8" s="11" t="str">
        <x:v>Gmail, Drive, Docs, Sheets y reuniones autorizadas</x:v>
      </x:c>
      <x:c r="F8" s="11" t="str">
        <x:v>Verificar edición, permisos heredados y disponibilidad de cada función.</x:v>
      </x:c>
      <x:c r="G8" s="11" t="str">
        <x:v>Edición de Workspace y usuarios; servicios Cloud adicionales</x:v>
      </x:c>
      <x:c r="H8" s="11" t="str">
        <x:v>https://workspace.google.com/solutions/ai/</x:v>
      </x:c>
      <x:c r="I8" s="11" t="str">
        <x:v>2026-10-02</x:v>
      </x:c>
      <x:c r="J8" s="11" t="str">
        <x:v>Documentación del proveedor; sin prueba comparativa propia</x:v>
      </x:c>
    </x:row>
    <x:row r="9" ht="95" customHeight="1">
      <x:c r="A9" s="6" t="str">
        <x:v>T04</x:v>
      </x:c>
      <x:c r="B9" s="6" t="str">
        <x:v>Gemini Notebook antes NotebookLM</x:v>
      </x:c>
      <x:c r="C9" s="6" t="str">
        <x:v>Investigación con fuentes</x:v>
      </x:c>
      <x:c r="D9" s="6" t="str">
        <x:v>Reunir fuentes compatibles y consultar un cuaderno fundamentado en esos materiales.</x:v>
      </x:c>
      <x:c r="E9" s="6" t="str">
        <x:v>Fuentes importadas y documentos accesibles</x:v>
      </x:c>
      <x:c r="F9" s="6" t="str">
        <x:v>Comprobar importación, actualización y referencia original de afirmaciones.</x:v>
      </x:c>
      <x:c r="G9" s="6" t="str">
        <x:v>Plan, usuarios y límites de fuentes y consultas</x:v>
      </x:c>
      <x:c r="H9" s="6" t="str">
        <x:v>https://support.google.com/gemininotebook/answer/16215270?hl=en</x:v>
      </x:c>
      <x:c r="I9" s="6" t="str">
        <x:v>2026-10-02</x:v>
      </x:c>
      <x:c r="J9" s="6" t="str">
        <x:v>Documentación del proveedor; sin prueba comparativa propia</x:v>
      </x:c>
    </x:row>
    <x:row r="10" ht="95" customHeight="1">
      <x:c r="A10" s="11" t="str">
        <x:v>T05</x:v>
      </x:c>
      <x:c r="B10" s="11" t="str">
        <x:v>Perplexity Enterprise</x:v>
      </x:c>
      <x:c r="C10" s="11" t="str">
        <x:v>Investigación</x:v>
      </x:c>
      <x:c r="D10" s="11" t="str">
        <x:v>Investigar con búsqueda y fuentes para elaborar síntesis empresariales.</x:v>
      </x:c>
      <x:c r="E10" s="11" t="str">
        <x:v>Preguntas, web y fuentes permitidas</x:v>
      </x:c>
      <x:c r="F10" s="11" t="str">
        <x:v>Abrir fuentes originales; comprobar fecha, cobertura y términos del plan.</x:v>
      </x:c>
      <x:c r="G10" s="11" t="str">
        <x:v>Usuarios, plan y límites de investigación</x:v>
      </x:c>
      <x:c r="H10" s="11" t="str">
        <x:v>https://www.perplexity.ai/enterprise</x:v>
      </x:c>
      <x:c r="I10" s="11" t="str">
        <x:v>2026-10-02</x:v>
      </x:c>
      <x:c r="J10" s="11" t="str">
        <x:v>Documentación del proveedor; sin prueba comparativa propia</x:v>
      </x:c>
    </x:row>
    <x:row r="11" ht="95" customHeight="1">
      <x:c r="A11" s="6" t="str">
        <x:v>T06</x:v>
      </x:c>
      <x:c r="B11" s="6" t="str">
        <x:v>Glean</x:v>
      </x:c>
      <x:c r="C11" s="6" t="str">
        <x:v>Conocimiento empresarial</x:v>
      </x:c>
      <x:c r="D11" s="6" t="str">
        <x:v>Buscar conocimiento conectado y utilizar asistentes y agentes con contexto de empresa.</x:v>
      </x:c>
      <x:c r="E11" s="6" t="str">
        <x:v>Aplicaciones conectadas y conocimiento interno</x:v>
      </x:c>
      <x:c r="F11" s="6" t="str">
        <x:v>Probar permisos de conectores y exposición de documentos antes de indexar.</x:v>
      </x:c>
      <x:c r="G11" s="6" t="str">
        <x:v>Usuarios, conectores, uso y servicios de implementación</x:v>
      </x:c>
      <x:c r="H11" s="6" t="str">
        <x:v>https://www.glean.com/</x:v>
      </x:c>
      <x:c r="I11" s="6" t="str">
        <x:v>2026-10-02</x:v>
      </x:c>
      <x:c r="J11" s="6" t="str">
        <x:v>Documentación del proveedor; sin prueba comparativa propia</x:v>
      </x:c>
    </x:row>
    <x:row r="12" ht="95" customHeight="1">
      <x:c r="A12" s="11" t="str">
        <x:v>T07</x:v>
      </x:c>
      <x:c r="B12" s="11" t="str">
        <x:v>Notion AI</x:v>
      </x:c>
      <x:c r="C12" s="11" t="str">
        <x:v>Conocimiento y trabajo</x:v>
      </x:c>
      <x:c r="D12" s="11" t="str">
        <x:v>Consultar fuentes conectadas, elaborar páginas y automatizar tareas con agentes.</x:v>
      </x:c>
      <x:c r="E12" s="11" t="str">
        <x:v>Páginas, bases y conexiones autorizadas</x:v>
      </x:c>
      <x:c r="F12" s="11" t="str">
        <x:v>Distinguir IA incluida de créditos de Custom Agents; comprobar acceso por fila.</x:v>
      </x:c>
      <x:c r="G12" s="11" t="str">
        <x:v>Plan por usuario y créditos de agentes</x:v>
      </x:c>
      <x:c r="H12" s="11" t="str">
        <x:v>https://www.notion.com/product/ai</x:v>
      </x:c>
      <x:c r="I12" s="11" t="str">
        <x:v>2026-10-02</x:v>
      </x:c>
      <x:c r="J12" s="11" t="str">
        <x:v>Documentación del proveedor; sin prueba comparativa propia</x:v>
      </x:c>
    </x:row>
    <x:row r="13" ht="95" customHeight="1">
      <x:c r="A13" s="6" t="str">
        <x:v>T08</x:v>
      </x:c>
      <x:c r="B13" s="6" t="str">
        <x:v>Atlassian Rovo</x:v>
      </x:c>
      <x:c r="C13" s="6" t="str">
        <x:v>Trabajo y conocimiento</x:v>
      </x:c>
      <x:c r="D13" s="6" t="str">
        <x:v>Asistir búsqueda y trabajo en el entorno Atlassian mediante agentes.</x:v>
      </x:c>
      <x:c r="E13" s="6" t="str">
        <x:v>Jira, Confluence y conectores aprobados</x:v>
      </x:c>
      <x:c r="F13" s="6" t="str">
        <x:v>Comprobar alcance de búsqueda y autoridad de acciones en cada proyecto.</x:v>
      </x:c>
      <x:c r="G13" s="6" t="str">
        <x:v>Edición, usuarios, créditos y conectores a cotizar</x:v>
      </x:c>
      <x:c r="H13" s="6" t="str">
        <x:v>https://www.atlassian.com/software/rovo</x:v>
      </x:c>
      <x:c r="I13" s="6" t="str">
        <x:v>2026-10-02</x:v>
      </x:c>
      <x:c r="J13" s="6" t="str">
        <x:v>Documentación del proveedor; sin prueba comparativa propia</x:v>
      </x:c>
    </x:row>
    <x:row r="14" ht="95" customHeight="1">
      <x:c r="A14" s="11" t="str">
        <x:v>T09</x:v>
      </x:c>
      <x:c r="B14" s="11" t="str">
        <x:v>n8n</x:v>
      </x:c>
      <x:c r="C14" s="11" t="str">
        <x:v>Orquestación</x:v>
      </x:c>
      <x:c r="D14" s="11" t="str">
        <x:v>Combinar nodos, modelos, herramientas y revisión humana en workflows de IA.</x:v>
      </x:c>
      <x:c r="E14" s="11" t="str">
        <x:v>Eventos, API, documentos y datos estructurados</x:v>
      </x:c>
      <x:c r="F14" s="11" t="str">
        <x:v>Separar costo de ejecución, modelo y alojamiento; revisar credenciales e idempotencia.</x:v>
      </x:c>
      <x:c r="G14" s="11" t="str">
        <x:v>Ejecuciones, alojamiento, modelo y mantenimiento</x:v>
      </x:c>
      <x:c r="H14" s="11" t="str">
        <x:v>https://n8n.io/ai/</x:v>
      </x:c>
      <x:c r="I14" s="11" t="str">
        <x:v>2026-10-02</x:v>
      </x:c>
      <x:c r="J14" s="11" t="str">
        <x:v>Documentación del proveedor; sin prueba comparativa propia</x:v>
      </x:c>
    </x:row>
    <x:row r="15" ht="95" customHeight="1">
      <x:c r="A15" s="6" t="str">
        <x:v>T10</x:v>
      </x:c>
      <x:c r="B15" s="6" t="str">
        <x:v>Make AI Agents</x:v>
      </x:c>
      <x:c r="C15" s="6" t="str">
        <x:v>Orquestación</x:v>
      </x:c>
      <x:c r="D15" s="6" t="str">
        <x:v>Dar herramientas a agentes dentro de escenarios visuales y observar sus ejecuciones.</x:v>
      </x:c>
      <x:c r="E15" s="6" t="str">
        <x:v>Eventos y aplicaciones conectadas</x:v>
      </x:c>
      <x:c r="F15" s="6" t="str">
        <x:v>Controlar herramientas, duración, errores y consumo de créditos por recorrido.</x:v>
      </x:c>
      <x:c r="G15" s="6" t="str">
        <x:v>Créditos, llamadas al modelo y operaciones de integración</x:v>
      </x:c>
      <x:c r="H15" s="6" t="str">
        <x:v>https://www.make.com/en/ai-agents</x:v>
      </x:c>
      <x:c r="I15" s="6" t="str">
        <x:v>2026-10-02</x:v>
      </x:c>
      <x:c r="J15" s="6" t="str">
        <x:v>Documentación del proveedor; sin prueba comparativa propia</x:v>
      </x:c>
    </x:row>
    <x:row r="16" ht="95" customHeight="1">
      <x:c r="A16" s="11" t="str">
        <x:v>T11</x:v>
      </x:c>
      <x:c r="B16" s="11" t="str">
        <x:v>Zapier Agents</x:v>
      </x:c>
      <x:c r="C16" s="11" t="str">
        <x:v>Orquestación SaaS</x:v>
      </x:c>
      <x:c r="D16" s="11" t="str">
        <x:v>Crear agentes que trabajan con conocimiento y acciones entre aplicaciones.</x:v>
      </x:c>
      <x:c r="E16" s="11" t="str">
        <x:v>Conocimiento empresarial y aplicaciones conectadas</x:v>
      </x:c>
      <x:c r="F16" s="11" t="str">
        <x:v>Probar la acción específica y los permisos; no inferir integración por número de apps.</x:v>
      </x:c>
      <x:c r="G16" s="11" t="str">
        <x:v>Plan, actividades de agente y automatizaciones a cotizar</x:v>
      </x:c>
      <x:c r="H16" s="11" t="str">
        <x:v>https://zapier.com/agents</x:v>
      </x:c>
      <x:c r="I16" s="11" t="str">
        <x:v>2026-10-02</x:v>
      </x:c>
      <x:c r="J16" s="11" t="str">
        <x:v>Documentación del proveedor; sin prueba comparativa propia</x:v>
      </x:c>
    </x:row>
    <x:row r="17" ht="95" customHeight="1">
      <x:c r="A17" s="6" t="str">
        <x:v>T12</x:v>
      </x:c>
      <x:c r="B17" s="6" t="str">
        <x:v>UiPath</x:v>
      </x:c>
      <x:c r="C17" s="6" t="str">
        <x:v>Automatización empresarial</x:v>
      </x:c>
      <x:c r="D17" s="6" t="str">
        <x:v>Combinar robots, agentes y personas para automatizar procesos.</x:v>
      </x:c>
      <x:c r="E17" s="6" t="str">
        <x:v>Sistemas empresariales, documentos y tareas humanas</x:v>
      </x:c>
      <x:c r="F17" s="6" t="str">
        <x:v>Evaluar infraestructura, excepciones y fragilidad de automatización de interfaces.</x:v>
      </x:c>
      <x:c r="G17" s="6" t="str">
        <x:v>Licencias, robots, consumo y operación a cotizar</x:v>
      </x:c>
      <x:c r="H17" s="6" t="str">
        <x:v>https://www.uipath.com/automation/agentic-automation</x:v>
      </x:c>
      <x:c r="I17" s="6" t="str">
        <x:v>2026-10-02</x:v>
      </x:c>
      <x:c r="J17" s="6" t="str">
        <x:v>Documentación del proveedor; sin prueba comparativa propia</x:v>
      </x:c>
    </x:row>
    <x:row r="18" ht="95" customHeight="1">
      <x:c r="A18" s="11" t="str">
        <x:v>T13</x:v>
      </x:c>
      <x:c r="B18" s="11" t="str">
        <x:v>Microsoft Copilot Studio</x:v>
      </x:c>
      <x:c r="C18" s="11" t="str">
        <x:v>Construcción de agentes</x:v>
      </x:c>
      <x:c r="D18" s="11" t="str">
        <x:v>Crear agentes, flujos y conexiones con controles y evaluación.</x:v>
      </x:c>
      <x:c r="E18" s="11" t="str">
        <x:v>Fuentes y sistemas conectados con permisos</x:v>
      </x:c>
      <x:c r="F18" s="11" t="str">
        <x:v>Comprobar entorno, región, licencia y autorización efectiva de herramientas.</x:v>
      </x:c>
      <x:c r="G18" s="11" t="str">
        <x:v>Copilot Credits y servicios Azure e integración</x:v>
      </x:c>
      <x:c r="H18" s="11" t="str">
        <x:v>https://www.microsoft.com/en-us/copilot/products/copilot-studio</x:v>
      </x:c>
      <x:c r="I18" s="11" t="str">
        <x:v>2026-10-02</x:v>
      </x:c>
      <x:c r="J18" s="11" t="str">
        <x:v>Documentación del proveedor; sin prueba comparativa propia</x:v>
      </x:c>
    </x:row>
    <x:row r="19" ht="95" customHeight="1">
      <x:c r="A19" s="6" t="str">
        <x:v>T14</x:v>
      </x:c>
      <x:c r="B19" s="6" t="str">
        <x:v>Salesforce Agentforce</x:v>
      </x:c>
      <x:c r="C19" s="6" t="str">
        <x:v>CRM y atención</x:v>
      </x:c>
      <x:c r="D19" s="6" t="str">
        <x:v>Configurar agentes de ventas, servicio y otras funciones con datos y acciones de CRM.</x:v>
      </x:c>
      <x:c r="E19" s="6" t="str">
        <x:v>CRM, fuentes y acciones autorizadas</x:v>
      </x:c>
      <x:c r="F19" s="6" t="str">
        <x:v>Validar casos de negocio y cobro de acciones; controlar descuentos y compromisos.</x:v>
      </x:c>
      <x:c r="G19" s="6" t="str">
        <x:v>Licencia, consumo y configuración del CRM a cotizar</x:v>
      </x:c>
      <x:c r="H19" s="6" t="str">
        <x:v>https://www.salesforce.com/au/agentforce/</x:v>
      </x:c>
      <x:c r="I19" s="6" t="str">
        <x:v>2026-10-02</x:v>
      </x:c>
      <x:c r="J19" s="6" t="str">
        <x:v>Documentación del proveedor; sin prueba comparativa propia</x:v>
      </x:c>
    </x:row>
    <x:row r="20" ht="95" customHeight="1">
      <x:c r="A20" s="11" t="str">
        <x:v>T15</x:v>
      </x:c>
      <x:c r="B20" s="11" t="str">
        <x:v>HubSpot Agent Hub</x:v>
      </x:c>
      <x:c r="C20" s="11" t="str">
        <x:v>CRM y comercial</x:v>
      </x:c>
      <x:c r="D20" s="11" t="str">
        <x:v>Activar y configurar agentes de marketing, ventas y servicio con contexto del CRM.</x:v>
      </x:c>
      <x:c r="E20" s="11" t="str">
        <x:v>CRM, instrucciones y conocimiento propio</x:v>
      </x:c>
      <x:c r="F20" s="11" t="str">
        <x:v>Revisar calidad del CRM y créditos para el recorrido específico.</x:v>
      </x:c>
      <x:c r="G20" s="11" t="str">
        <x:v>Plan base y créditos de agentes</x:v>
      </x:c>
      <x:c r="H20" s="11" t="str">
        <x:v>https://www.hubspot.com/products/artificial-intelligence</x:v>
      </x:c>
      <x:c r="I20" s="11" t="str">
        <x:v>2026-10-02</x:v>
      </x:c>
      <x:c r="J20" s="11" t="str">
        <x:v>Documentación del proveedor; sin prueba comparativa propia</x:v>
      </x:c>
    </x:row>
    <x:row r="21" ht="95" customHeight="1">
      <x:c r="A21" s="6" t="str">
        <x:v>T16</x:v>
      </x:c>
      <x:c r="B21" s="6" t="str">
        <x:v>SAP Joule Assistants</x:v>
      </x:c>
      <x:c r="C21" s="6" t="str">
        <x:v>ERP y procesos</x:v>
      </x:c>
      <x:c r="D21" s="6" t="str">
        <x:v>Coordinar agentes con contexto de rol y proceso dentro de aplicaciones SAP.</x:v>
      </x:c>
      <x:c r="E21" s="6" t="str">
        <x:v>Datos y procesos SAP autorizados</x:v>
      </x:c>
      <x:c r="F21" s="6" t="str">
        <x:v>Confirmar aplicación, edición y asistente disponible; conservar aprobaciones.</x:v>
      </x:c>
      <x:c r="G21" s="6" t="str">
        <x:v>Licencias SAP, consumo e implementación a cotizar</x:v>
      </x:c>
      <x:c r="H21" s="6" t="str">
        <x:v>https://www.sap.com/products/artificial-intelligence/ai-assistant.html</x:v>
      </x:c>
      <x:c r="I21" s="6" t="str">
        <x:v>2026-10-02</x:v>
      </x:c>
      <x:c r="J21" s="6" t="str">
        <x:v>Documentación del proveedor; sin prueba comparativa propia</x:v>
      </x:c>
    </x:row>
    <x:row r="22" ht="95" customHeight="1">
      <x:c r="A22" s="11" t="str">
        <x:v>T17</x:v>
      </x:c>
      <x:c r="B22" s="11" t="str">
        <x:v>ServiceNow Otto</x:v>
      </x:c>
      <x:c r="C22" s="11" t="str">
        <x:v>Servicios empresariales</x:v>
      </x:c>
      <x:c r="D22" s="11" t="str">
        <x:v>Unificar asistencia y ejecución de trabajo entre sistemas y workflows.</x:v>
      </x:c>
      <x:c r="E22" s="11" t="str">
        <x:v>Solicitudes, políticas y flujos empresariales</x:v>
      </x:c>
      <x:c r="F22" s="11" t="str">
        <x:v>Comprobar producto contratado y acciones; el nombre sustituye la página de Now Assist.</x:v>
      </x:c>
      <x:c r="G22" s="11" t="str">
        <x:v>Licencias, uso e integración a cotizar</x:v>
      </x:c>
      <x:c r="H22" s="11" t="str">
        <x:v>https://www.servicenow.com/platform/otto.html</x:v>
      </x:c>
      <x:c r="I22" s="11" t="str">
        <x:v>2026-10-02</x:v>
      </x:c>
      <x:c r="J22" s="11" t="str">
        <x:v>Documentación del proveedor; sin prueba comparativa propia</x:v>
      </x:c>
    </x:row>
    <x:row r="23" ht="95" customHeight="1">
      <x:c r="A23" s="6" t="str">
        <x:v>T18</x:v>
      </x:c>
      <x:c r="B23" s="6" t="str">
        <x:v>Zendesk AI</x:v>
      </x:c>
      <x:c r="C23" s="6" t="str">
        <x:v>Servicio al cliente</x:v>
      </x:c>
      <x:c r="D23" s="6" t="str">
        <x:v>Asistir agentes y automatizar interacciones y workflows de soporte.</x:v>
      </x:c>
      <x:c r="E23" s="6" t="str">
        <x:v>Tickets, conocimiento y canales de soporte</x:v>
      </x:c>
      <x:c r="F23" s="6" t="str">
        <x:v>Medir resolución real y reaperturas; verificar add-ons y escalamiento.</x:v>
      </x:c>
      <x:c r="G23" s="6" t="str">
        <x:v>Licencias, add-ons y unidad de resolución a cotizar</x:v>
      </x:c>
      <x:c r="H23" s="6" t="str">
        <x:v>https://www.zendesk.com/service/ai/</x:v>
      </x:c>
      <x:c r="I23" s="6" t="str">
        <x:v>2026-10-02</x:v>
      </x:c>
      <x:c r="J23" s="6" t="str">
        <x:v>Documentación del proveedor; sin prueba comparativa propia</x:v>
      </x:c>
    </x:row>
    <x:row r="24" ht="95" customHeight="1">
      <x:c r="A24" s="11" t="str">
        <x:v>T19</x:v>
      </x:c>
      <x:c r="B24" s="11" t="str">
        <x:v>Fin de Intercom</x:v>
      </x:c>
      <x:c r="C24" s="11" t="str">
        <x:v>Servicio al cliente</x:v>
      </x:c>
      <x:c r="D24" s="11" t="str">
        <x:v>Agente de atención que trabaja con conocimiento y consultas de clientes.</x:v>
      </x:c>
      <x:c r="E24" s="11" t="str">
        <x:v>Base de conocimiento y conversaciones</x:v>
      </x:c>
      <x:c r="F24" s="11" t="str">
        <x:v>Definir resolución facturable y comprobar casos reabiertos y fuera de alcance.</x:v>
      </x:c>
      <x:c r="G24" s="11" t="str">
        <x:v>Resoluciones, canal y plataforma a cotizar</x:v>
      </x:c>
      <x:c r="H24" s="11" t="str">
        <x:v>https://fin.ai/</x:v>
      </x:c>
      <x:c r="I24" s="11" t="str">
        <x:v>2026-10-02</x:v>
      </x:c>
      <x:c r="J24" s="11" t="str">
        <x:v>Documentación del proveedor; sin prueba comparativa propia</x:v>
      </x:c>
    </x:row>
    <x:row r="25" ht="95" customHeight="1">
      <x:c r="A25" s="6" t="str">
        <x:v>T20</x:v>
      </x:c>
      <x:c r="B25" s="6" t="str">
        <x:v>Genesys Cloud CX AI</x:v>
      </x:c>
      <x:c r="C25" s="6" t="str">
        <x:v>Centro de contacto</x:v>
      </x:c>
      <x:c r="D25" s="6" t="str">
        <x:v>Proveer agentes virtuales y copilotos con contexto y resúmenes de interacciones.</x:v>
      </x:c>
      <x:c r="E25" s="6" t="str">
        <x:v>Voz, chat, conocimiento y contexto de cliente</x:v>
      </x:c>
      <x:c r="F25" s="6" t="str">
        <x:v>Comprobar idioma, latencia, telefonía, consentimiento y transferencia humana.</x:v>
      </x:c>
      <x:c r="G25" s="6" t="str">
        <x:v>Licencias, voz, consumo IA y telecomunicaciones</x:v>
      </x:c>
      <x:c r="H25" s="6" t="str">
        <x:v>https://www.genesys.com/capabilities/ai-and-automation</x:v>
      </x:c>
      <x:c r="I25" s="6" t="str">
        <x:v>2026-10-02</x:v>
      </x:c>
      <x:c r="J25" s="6" t="str">
        <x:v>Documentación del proveedor; sin prueba comparativa propia</x:v>
      </x:c>
    </x:row>
    <x:row r="26" ht="95" customHeight="1">
      <x:c r="A26" s="11" t="str">
        <x:v>T21</x:v>
      </x:c>
      <x:c r="B26" s="11" t="str">
        <x:v>Power BI Copilot</x:v>
      </x:c>
      <x:c r="C26" s="11" t="str">
        <x:v>BI</x:v>
      </x:c>
      <x:c r="D26" s="11" t="str">
        <x:v>Consultar y resumir informes y asistir creación de reportes y medidas.</x:v>
      </x:c>
      <x:c r="E26" s="11" t="str">
        <x:v>Modelo semántico e informes de Power BI</x:v>
      </x:c>
      <x:c r="F26" s="11" t="str">
        <x:v>Requiere capacidad organizacional compatible; Pro o PPU por sí solos no bastan.</x:v>
      </x:c>
      <x:c r="G26" s="11" t="str">
        <x:v>Capacidad Fabric o Premium y licencias requeridas</x:v>
      </x:c>
      <x:c r="H26" s="11" t="str">
        <x:v>https://learn.microsoft.com/en-us/power-bi/create-reports/copilot-introduction</x:v>
      </x:c>
      <x:c r="I26" s="11" t="str">
        <x:v>2026-10-02</x:v>
      </x:c>
      <x:c r="J26" s="11" t="str">
        <x:v>Documentación del proveedor; sin prueba comparativa propia</x:v>
      </x:c>
    </x:row>
    <x:row r="27" ht="95" customHeight="1">
      <x:c r="A27" s="6" t="str">
        <x:v>T22</x:v>
      </x:c>
      <x:c r="B27" s="6" t="str">
        <x:v>Tableau Agent y Pulse</x:v>
      </x:c>
      <x:c r="C27" s="6" t="str">
        <x:v>BI</x:v>
      </x:c>
      <x:c r="D27" s="6" t="str">
        <x:v>Crear visualizaciones y cálculos con conversación; explorar dashboards y seguir métricas definidas.</x:v>
      </x:c>
      <x:c r="E27" s="6" t="str">
        <x:v>Fuentes, métricas, dimensiones y permisos de Tableau</x:v>
      </x:c>
      <x:c r="F27" s="6" t="str">
        <x:v>Verificar edición y funciones habilitadas; Q&amp;A de dashboards sigue en beta y solo en inglés.</x:v>
      </x:c>
      <x:c r="G27" s="6" t="str">
        <x:v>Usuarios, edición, consumo IA y configuración a cotizar</x:v>
      </x:c>
      <x:c r="H27" s="6" t="str">
        <x:v>https://help.tableau.com/current/online/en-us/web_author_einstein_faq.htm</x:v>
      </x:c>
      <x:c r="I27" s="6" t="str">
        <x:v>2026-10-02</x:v>
      </x:c>
      <x:c r="J27" s="6" t="str">
        <x:v>Documentación del proveedor; sin prueba comparativa propia</x:v>
      </x:c>
    </x:row>
    <x:row r="28" ht="95" customHeight="1">
      <x:c r="A28" s="11" t="str">
        <x:v>T23</x:v>
      </x:c>
      <x:c r="B28" s="11" t="str">
        <x:v>Snowflake Cortex Analyst</x:v>
      </x:c>
      <x:c r="C28" s="11" t="str">
        <x:v>Analítica conversacional</x:v>
      </x:c>
      <x:c r="D28" s="11" t="str">
        <x:v>Generar SQL con conceptos y relaciones definidos en Semantic Views.</x:v>
      </x:c>
      <x:c r="E28" s="11" t="str">
        <x:v>Tablas, métricas, relaciones y ejemplos de consultas</x:v>
      </x:c>
      <x:c r="F28" s="11" t="str">
        <x:v>Verificar SQL, joins, privilegios y costo de cómputo de la consulta.</x:v>
      </x:c>
      <x:c r="G28" s="11" t="str">
        <x:v>Consumo Cortex, cómputo y almacenamiento</x:v>
      </x:c>
      <x:c r="H28" s="11" t="str">
        <x:v>https://docs.snowflake.com/en/user-guide/snowflake-cortex/cortex-analyst</x:v>
      </x:c>
      <x:c r="I28" s="11" t="str">
        <x:v>2026-10-02</x:v>
      </x:c>
      <x:c r="J28" s="11" t="str">
        <x:v>Documentación del proveedor; sin prueba comparativa propia</x:v>
      </x:c>
    </x:row>
    <x:row r="29" ht="95" customHeight="1">
      <x:c r="A29" s="6" t="str">
        <x:v>T24</x:v>
      </x:c>
      <x:c r="B29" s="6" t="str">
        <x:v>Databricks Genie</x:v>
      </x:c>
      <x:c r="C29" s="6" t="str">
        <x:v>Analítica conversacional</x:v>
      </x:c>
      <x:c r="D29" s="6" t="str">
        <x:v>Preguntar sobre datos gobernados, explorar dashboards y trabajar con asistentes de datos.</x:v>
      </x:c>
      <x:c r="E29" s="6" t="str">
        <x:v>Datos y métricas gobernados por Unity Catalog</x:v>
      </x:c>
      <x:c r="F29" s="6" t="str">
        <x:v>Preparar reglas y métricas del dominio; validar consulta y permisos.</x:v>
      </x:c>
      <x:c r="G29" s="6" t="str">
        <x:v>Consumo, capacidad y configuración a cotizar</x:v>
      </x:c>
      <x:c r="H29" s="6" t="str">
        <x:v>https://docs.databricks.com/aws/en/genie</x:v>
      </x:c>
      <x:c r="I29" s="6" t="str">
        <x:v>2026-10-02</x:v>
      </x:c>
      <x:c r="J29" s="6" t="str">
        <x:v>Documentación del proveedor; sin prueba comparativa propia</x:v>
      </x:c>
    </x:row>
    <x:row r="30" ht="95" customHeight="1">
      <x:c r="A30" s="11" t="str">
        <x:v>T25</x:v>
      </x:c>
      <x:c r="B30" s="11" t="str">
        <x:v>Dataiku</x:v>
      </x:c>
      <x:c r="C30" s="11" t="str">
        <x:v>Analítica y ML</x:v>
      </x:c>
      <x:c r="D30" s="11" t="str">
        <x:v>Combinar analítica, ML visual, AutoML, código, agentes y gobierno.</x:v>
      </x:c>
      <x:c r="E30" s="11" t="str">
        <x:v>Datos tabulares, código y fuentes conectadas</x:v>
      </x:c>
      <x:c r="F30" s="11" t="str">
        <x:v>Reservar datos de prueba y operación; una plataforma no aporta etiquetas correctas.</x:v>
      </x:c>
      <x:c r="G30" s="11" t="str">
        <x:v>Plataforma, capacidad, usuarios y servicios a cotizar</x:v>
      </x:c>
      <x:c r="H30" s="11" t="str">
        <x:v>https://www.dataiku.com/product</x:v>
      </x:c>
      <x:c r="I30" s="11" t="str">
        <x:v>2026-10-02</x:v>
      </x:c>
      <x:c r="J30" s="11" t="str">
        <x:v>Documentación del proveedor; sin prueba comparativa propia</x:v>
      </x:c>
    </x:row>
    <x:row r="31" ht="95" customHeight="1">
      <x:c r="A31" s="6" t="str">
        <x:v>T26</x:v>
      </x:c>
      <x:c r="B31" s="6" t="str">
        <x:v>DataRobot</x:v>
      </x:c>
      <x:c r="C31" s="6" t="str">
        <x:v>Plataforma de IA</x:v>
      </x:c>
      <x:c r="D31" s="6" t="str">
        <x:v>Desarrollar y operar aplicaciones y modelos de IA empresariales.</x:v>
      </x:c>
      <x:c r="E31" s="6" t="str">
        <x:v>Datos del negocio y aplicaciones</x:v>
      </x:c>
      <x:c r="F31" s="6" t="str">
        <x:v>Evaluar entrenamiento, validación y seguimiento para el caso específico.</x:v>
      </x:c>
      <x:c r="G31" s="6" t="str">
        <x:v>Plataforma, despliegue y consumo a cotizar</x:v>
      </x:c>
      <x:c r="H31" s="6" t="str">
        <x:v>https://www.datarobot.com/product/ai-platform/</x:v>
      </x:c>
      <x:c r="I31" s="6" t="str">
        <x:v>2026-10-02</x:v>
      </x:c>
      <x:c r="J31" s="6" t="str">
        <x:v>Documentación del proveedor; sin prueba comparativa propia</x:v>
      </x:c>
    </x:row>
    <x:row r="32" ht="95" customHeight="1">
      <x:c r="A32" s="11" t="str">
        <x:v>T27</x:v>
      </x:c>
      <x:c r="B32" s="11" t="str">
        <x:v>Google Document AI</x:v>
      </x:c>
      <x:c r="C32" s="11" t="str">
        <x:v>Procesamiento documental</x:v>
      </x:c>
      <x:c r="D32" s="11" t="str">
        <x:v>Extraer texto, estructura y campos; clasificar y dividir documentos.</x:v>
      </x:c>
      <x:c r="E32" s="11" t="str">
        <x:v>PDF, imágenes y muestras etiquetadas</x:v>
      </x:c>
      <x:c r="F32" s="11" t="str">
        <x:v>Validar campos críticos y documentos de mala calidad por tipo y origen.</x:v>
      </x:c>
      <x:c r="G32" s="11" t="str">
        <x:v>Páginas, tipo de procesador y personalización</x:v>
      </x:c>
      <x:c r="H32" s="11" t="str">
        <x:v>https://cloud.google.com/document-ai</x:v>
      </x:c>
      <x:c r="I32" s="11" t="str">
        <x:v>2026-10-02</x:v>
      </x:c>
      <x:c r="J32" s="11" t="str">
        <x:v>Documentación del proveedor; sin prueba comparativa propia</x:v>
      </x:c>
    </x:row>
    <x:row r="33" ht="95" customHeight="1">
      <x:c r="A33" s="6" t="str">
        <x:v>T28</x:v>
      </x:c>
      <x:c r="B33" s="6" t="str">
        <x:v>Azure Document Intelligence</x:v>
      </x:c>
      <x:c r="C33" s="6" t="str">
        <x:v>Procesamiento documental</x:v>
      </x:c>
      <x:c r="D33" s="6" t="str">
        <x:v>Extraer datos mediante modelos de documentos y estructura.</x:v>
      </x:c>
      <x:c r="E33" s="6" t="str">
        <x:v>Documentos, formularios y facturas</x:v>
      </x:c>
      <x:c r="F33" s="6" t="str">
        <x:v>Confirmar modelo, idioma y región; reconciliar importes antes de registrar.</x:v>
      </x:c>
      <x:c r="G33" s="6" t="str">
        <x:v>Páginas, modelo y servicios de integración</x:v>
      </x:c>
      <x:c r="H33" s="6" t="str">
        <x:v>https://learn.microsoft.com/en-us/azure/ai-services/document-intelligence/overview</x:v>
      </x:c>
      <x:c r="I33" s="6" t="str">
        <x:v>2026-10-02</x:v>
      </x:c>
      <x:c r="J33" s="6" t="str">
        <x:v>Documentación del proveedor; sin prueba comparativa propia</x:v>
      </x:c>
    </x:row>
    <x:row r="34" ht="95" customHeight="1">
      <x:c r="A34" s="11" t="str">
        <x:v>T29</x:v>
      </x:c>
      <x:c r="B34" s="11" t="str">
        <x:v>Amazon Textract</x:v>
      </x:c>
      <x:c r="C34" s="11" t="str">
        <x:v>Procesamiento documental</x:v>
      </x:c>
      <x:c r="D34" s="11" t="str">
        <x:v>Extraer texto y datos de documentos y formularios para procesos empresariales.</x:v>
      </x:c>
      <x:c r="E34" s="11" t="str">
        <x:v>Documentos digitalizados</x:v>
      </x:c>
      <x:c r="F34" s="11" t="str">
        <x:v>Comprobar tablas, campos y precisión en muestras locales.</x:v>
      </x:c>
      <x:c r="G34" s="11" t="str">
        <x:v>Páginas y API utilizadas</x:v>
      </x:c>
      <x:c r="H34" s="11" t="str">
        <x:v>https://aws.amazon.com/textract/</x:v>
      </x:c>
      <x:c r="I34" s="11" t="str">
        <x:v>2026-10-02</x:v>
      </x:c>
      <x:c r="J34" s="11" t="str">
        <x:v>Documentación del proveedor; sin prueba comparativa propia</x:v>
      </x:c>
    </x:row>
    <x:row r="35" ht="95" customHeight="1">
      <x:c r="A35" s="6" t="str">
        <x:v>T30</x:v>
      </x:c>
      <x:c r="B35" s="6" t="str">
        <x:v>ABBYY Vantage</x:v>
      </x:c>
      <x:c r="C35" s="6" t="str">
        <x:v>Procesamiento documental</x:v>
      </x:c>
      <x:c r="D35" s="6" t="str">
        <x:v>Crear habilidades de extracción documental y conectarlas a sistemas empresariales.</x:v>
      </x:c>
      <x:c r="E35" s="6" t="str">
        <x:v>Documentos estructurados y no estructurados</x:v>
      </x:c>
      <x:c r="F35" s="6" t="str">
        <x:v>Evaluar revisión, configuración y desempeño por familia documental.</x:v>
      </x:c>
      <x:c r="G35" s="6" t="str">
        <x:v>Volumen, habilidades, licencias y operación a cotizar</x:v>
      </x:c>
      <x:c r="H35" s="6" t="str">
        <x:v>https://www.abbyy.com/vantage/</x:v>
      </x:c>
      <x:c r="I35" s="6" t="str">
        <x:v>2026-10-02</x:v>
      </x:c>
      <x:c r="J35" s="6" t="str">
        <x:v>Documentación del proveedor; sin prueba comparativa propia</x:v>
      </x:c>
    </x:row>
    <x:row r="36" ht="95" customHeight="1">
      <x:c r="A36" s="11" t="str">
        <x:v>T31</x:v>
      </x:c>
      <x:c r="B36" s="11" t="str">
        <x:v>Adobe Firefly</x:v>
      </x:c>
      <x:c r="C36" s="11" t="str">
        <x:v>Contenido visual</x:v>
      </x:c>
      <x:c r="D36" s="11" t="str">
        <x:v>Generar y editar imagen, video, audio y diseños con distintos modelos.</x:v>
      </x:c>
      <x:c r="E36" s="11" t="str">
        <x:v>Instrucciones y recursos de referencia autorizados</x:v>
      </x:c>
      <x:c r="F36" s="11" t="str">
        <x:v>Distinguir modelos Adobe de socios y revisar términos, derechos y costo.</x:v>
      </x:c>
      <x:c r="G36" s="11" t="str">
        <x:v>Plan, créditos y modelo de generación</x:v>
      </x:c>
      <x:c r="H36" s="11" t="str">
        <x:v>https://www.adobe.com/products/firefly.html</x:v>
      </x:c>
      <x:c r="I36" s="11" t="str">
        <x:v>2026-10-02</x:v>
      </x:c>
      <x:c r="J36" s="11" t="str">
        <x:v>Documentación del proveedor; sin prueba comparativa propia</x:v>
      </x:c>
    </x:row>
    <x:row r="37" ht="95" customHeight="1">
      <x:c r="A37" s="6" t="str">
        <x:v>T32</x:v>
      </x:c>
      <x:c r="B37" s="6" t="str">
        <x:v>Canva AI</x:v>
      </x:c>
      <x:c r="C37" s="6" t="str">
        <x:v>Diseño y comunicación</x:v>
      </x:c>
      <x:c r="D37" s="6" t="str">
        <x:v>Asistir diseño, escritura y elaboración de materiales visuales.</x:v>
      </x:c>
      <x:c r="E37" s="6" t="str">
        <x:v>Brief, materiales de marca y datos para piezas</x:v>
      </x:c>
      <x:c r="F37" s="6" t="str">
        <x:v>Validar contenido y términos de cada función; un gráfico bonito puede ser incorrecto.</x:v>
      </x:c>
      <x:c r="G37" s="6" t="str">
        <x:v>Plan, usuarios y límites de funciones IA</x:v>
      </x:c>
      <x:c r="H37" s="6" t="str">
        <x:v>https://www.canva.com/canva-ai/</x:v>
      </x:c>
      <x:c r="I37" s="6" t="str">
        <x:v>2026-10-02</x:v>
      </x:c>
      <x:c r="J37" s="6" t="str">
        <x:v>Documentación del proveedor; sin prueba comparativa propia</x:v>
      </x:c>
    </x:row>
    <x:row r="38" ht="95" customHeight="1">
      <x:c r="A38" s="11" t="str">
        <x:v>T33</x:v>
      </x:c>
      <x:c r="B38" s="11" t="str">
        <x:v>Synthesia</x:v>
      </x:c>
      <x:c r="C38" s="11" t="str">
        <x:v>Video empresarial</x:v>
      </x:c>
      <x:c r="D38" s="11" t="str">
        <x:v>Crear videos desde documentos y traducir materiales de capacitación.</x:v>
      </x:c>
      <x:c r="E38" s="11" t="str">
        <x:v>Guiones, documentos y presentaciones</x:v>
      </x:c>
      <x:c r="F38" s="11" t="str">
        <x:v>Revisar pronunciación, exactitud, consentimiento y aprobación de publicación.</x:v>
      </x:c>
      <x:c r="G38" s="11" t="str">
        <x:v>Plan, minutos, avatares y traducción</x:v>
      </x:c>
      <x:c r="H38" s="11" t="str">
        <x:v>https://www.synthesia.io/</x:v>
      </x:c>
      <x:c r="I38" s="11" t="str">
        <x:v>2026-10-02</x:v>
      </x:c>
      <x:c r="J38" s="11" t="str">
        <x:v>Documentación del proveedor; sin prueba comparativa propia</x:v>
      </x:c>
    </x:row>
    <x:row r="39" ht="95" customHeight="1">
      <x:c r="A39" s="6" t="str">
        <x:v>T34</x:v>
      </x:c>
      <x:c r="B39" s="6" t="str">
        <x:v>ElevenLabs Agents</x:v>
      </x:c>
      <x:c r="C39" s="6" t="str">
        <x:v>Voz y agentes</x:v>
      </x:c>
      <x:c r="D39" s="6" t="str">
        <x:v>Construir experiencias de agentes por voz y chat.</x:v>
      </x:c>
      <x:c r="E39" s="6" t="str">
        <x:v>Conversaciones, conocimiento y herramientas conectadas</x:v>
      </x:c>
      <x:c r="F39" s="6" t="str">
        <x:v>Probar acentos, latencia, costos de telefonía y autorización de acciones.</x:v>
      </x:c>
      <x:c r="G39" s="6" t="str">
        <x:v>Minutos, modelo, telefonía e integración</x:v>
      </x:c>
      <x:c r="H39" s="6" t="str">
        <x:v>https://elevenlabs.io/agents</x:v>
      </x:c>
      <x:c r="I39" s="6" t="str">
        <x:v>2026-10-02</x:v>
      </x:c>
      <x:c r="J39" s="6" t="str">
        <x:v>Documentación del proveedor; sin prueba comparativa propia</x:v>
      </x:c>
    </x:row>
    <x:row r="40" ht="95" customHeight="1">
      <x:c r="A40" s="11" t="str">
        <x:v>T35</x:v>
      </x:c>
      <x:c r="B40" s="11" t="str">
        <x:v>Microsoft Foundry</x:v>
      </x:c>
      <x:c r="C40" s="11" t="str">
        <x:v>Plataforma de implementación</x:v>
      </x:c>
      <x:c r="D40" s="11" t="str">
        <x:v>Agrupar modelos, agentes y herramientas con evaluación, seguimiento y control.</x:v>
      </x:c>
      <x:c r="E40" s="11" t="str">
        <x:v>Modelos, datos, herramientas y configuraciones Azure</x:v>
      </x:c>
      <x:c r="F40" s="11" t="str">
        <x:v>Dimensionar arquitectura, identidad y región; requiere equipo de implementación.</x:v>
      </x:c>
      <x:c r="G40" s="11" t="str">
        <x:v>Modelo, cómputo, almacenamiento y servicios asociados</x:v>
      </x:c>
      <x:c r="H40" s="11" t="str">
        <x:v>https://learn.microsoft.com/en-us/azure/foundry/what-is-foundry</x:v>
      </x:c>
      <x:c r="I40" s="11" t="str">
        <x:v>2026-10-02</x:v>
      </x:c>
      <x:c r="J40" s="11" t="str">
        <x:v>Documentación del proveedor; sin prueba comparativa propia</x:v>
      </x:c>
    </x:row>
    <x:row r="41" ht="95" customHeight="1">
      <x:c r="A41" s="6" t="str">
        <x:v>T36</x:v>
      </x:c>
      <x:c r="B41" s="6" t="str">
        <x:v>Gemini Enterprise Agent Platform antes Vertex AI</x:v>
      </x:c>
      <x:c r="C41" s="6" t="str">
        <x:v>Plataforma de implementación</x:v>
      </x:c>
      <x:c r="D41" s="6" t="str">
        <x:v>Entrenar, evaluar y desplegar modelos y agentes con herramientas de ML.</x:v>
      </x:c>
      <x:c r="E41" s="6" t="str">
        <x:v>Datos, modelos y proyectos Cloud</x:v>
      </x:c>
      <x:c r="F41" s="6" t="str">
        <x:v>Distinguir esta plataforma de Gemini en Workspace; requiere arquitectura y operación.</x:v>
      </x:c>
      <x:c r="G41" s="6" t="str">
        <x:v>Inferencia, entrenamiento, cómputo y servicios Cloud</x:v>
      </x:c>
      <x:c r="H41" s="6" t="str">
        <x:v>https://cloud.google.com/products/gemini-enterprise-agent-platform</x:v>
      </x:c>
      <x:c r="I41" s="6" t="str">
        <x:v>2026-10-02</x:v>
      </x:c>
      <x:c r="J41" s="6" t="str">
        <x:v>Documentación del proveedor; sin prueba comparativa propia</x:v>
      </x:c>
    </x:row>
    <x:row r="42" ht="95" customHeight="1">
      <x:c r="A42" s="11" t="str">
        <x:v>T37</x:v>
      </x:c>
      <x:c r="B42" s="11" t="str">
        <x:v>Amazon Bedrock</x:v>
      </x:c>
      <x:c r="C42" s="11" t="str">
        <x:v>Plataforma de implementación</x:v>
      </x:c>
      <x:c r="D42" s="11" t="str">
        <x:v>Construir aplicaciones y agentes con modelos y componentes de recuperación y control.</x:v>
      </x:c>
      <x:c r="E42" s="11" t="str">
        <x:v>Fuentes, modelos y herramientas AWS</x:v>
      </x:c>
      <x:c r="F42" s="11" t="str">
        <x:v>Comprobar modelo, región y permisos; controles no sustituyen pruebas del caso.</x:v>
      </x:c>
      <x:c r="G42" s="11" t="str">
        <x:v>Modelo, herramientas, recuperación y servicios AWS</x:v>
      </x:c>
      <x:c r="H42" s="11" t="str">
        <x:v>https://aws.amazon.com/bedrock/</x:v>
      </x:c>
      <x:c r="I42" s="11" t="str">
        <x:v>2026-10-02</x:v>
      </x:c>
      <x:c r="J42" s="11" t="str">
        <x:v>Documentación del proveedor; sin prueba comparativa propia</x:v>
      </x:c>
    </x:row>
    <x:row r="43" ht="95" customHeight="1">
      <x:c r="A43" s="6" t="str">
        <x:v>T38</x:v>
      </x:c>
      <x:c r="B43" s="6" t="str">
        <x:v>IBM watsonx.ai</x:v>
      </x:c>
      <x:c r="C43" s="6" t="str">
        <x:v>Plataforma de implementación</x:v>
      </x:c>
      <x:c r="D43" s="6" t="str">
        <x:v>Combinar IA predictiva, optimización y generación en infraestructura híbrida.</x:v>
      </x:c>
      <x:c r="E43" s="6" t="str">
        <x:v>Datos, modelos y restricciones de negocio</x:v>
      </x:c>
      <x:c r="F43" s="6" t="str">
        <x:v>Seleccionar capacidad adecuada; cuantificar infraestructura y soporte.</x:v>
      </x:c>
      <x:c r="G43" s="6" t="str">
        <x:v>Modelo, capacidad, licencias y operación</x:v>
      </x:c>
      <x:c r="H43" s="6" t="str">
        <x:v>https://www.ibm.com/products/watsonx-ai</x:v>
      </x:c>
      <x:c r="I43" s="6" t="str">
        <x:v>2026-10-02</x:v>
      </x:c>
      <x:c r="J43" s="6" t="str">
        <x:v>Documentación del proveedor; sin prueba comparativa propia</x:v>
      </x:c>
    </x:row>
    <x:row r="44" ht="95" customHeight="1">
      <x:c r="A44" s="11" t="str">
        <x:v>T39</x:v>
      </x:c>
      <x:c r="B44" s="11" t="str">
        <x:v>Hugging Face Inference Endpoints</x:v>
      </x:c>
      <x:c r="C44" s="11" t="str">
        <x:v>Inferencia de modelos</x:v>
      </x:c>
      <x:c r="D44" s="11" t="str">
        <x:v>Desplegar modelos en endpoints dedicados para integrarlos en aplicaciones.</x:v>
      </x:c>
      <x:c r="E44" s="11" t="str">
        <x:v>Modelo seleccionado y solicitudes API</x:v>
      </x:c>
      <x:c r="F44" s="11" t="str">
        <x:v>Revisar licencia del modelo, hardware y mantenimiento; endpoint no es aplicación final.</x:v>
      </x:c>
      <x:c r="G44" s="11" t="str">
        <x:v>Instancias, horas y operación del endpoint</x:v>
      </x:c>
      <x:c r="H44" s="11" t="str">
        <x:v>https://huggingface.co/docs/inference-endpoints/index</x:v>
      </x:c>
      <x:c r="I44" s="11" t="str">
        <x:v>2026-10-02</x:v>
      </x:c>
      <x:c r="J44" s="11" t="str">
        <x:v>Documentación del proveedor; sin prueba comparativa propia</x:v>
      </x:c>
    </x:row>
    <x:row r="45" ht="95" customHeight="1">
      <x:c r="A45" s="6" t="str">
        <x:v>T40</x:v>
      </x:c>
      <x:c r="B45" s="6" t="str">
        <x:v>Ollama</x:v>
      </x:c>
      <x:c r="C45" s="6" t="str">
        <x:v>Modelos locales y cloud</x:v>
      </x:c>
      <x:c r="D45" s="6" t="str">
        <x:v>Ejecutar modelos en un equipo propio o usar modelos cloud.</x:v>
      </x:c>
      <x:c r="E45" s="6" t="str">
        <x:v>Modelos y solicitudes locales o cloud</x:v>
      </x:c>
      <x:c r="F45" s="6" t="str">
        <x:v>Uso local depende de la ruta y conexiones; presupuestar hardware, energía y soporte.</x:v>
      </x:c>
      <x:c r="G45" s="6" t="str">
        <x:v>Hardware y operación local; consumo cloud cuando se utilice</x:v>
      </x:c>
      <x:c r="H45" s="6" t="str">
        <x:v>https://docs.ollama.com/</x:v>
      </x:c>
      <x:c r="I45" s="6" t="str">
        <x:v>2026-10-02</x:v>
      </x:c>
      <x:c r="J45" s="6" t="str">
        <x:v>Documentación del proveedor; sin prueba comparativa propia</x:v>
      </x:c>
    </x:row>
    <x:row r="46" ht="95" customHeight="1">
      <x:c r="A46" s="11" t="str">
        <x:v>T41</x:v>
      </x:c>
      <x:c r="B46" s="11" t="str">
        <x:v>Harvey</x:v>
      </x:c>
      <x:c r="C46" s="11" t="str">
        <x:v>Jurídico y profesional</x:v>
      </x:c>
      <x:c r="D46" s="11" t="str">
        <x:v>Investigar cuestiones jurídicas y analizar documentos con funciones de trabajo especializado.</x:v>
      </x:c>
      <x:c r="E46" s="11" t="str">
        <x:v>Documentos jurídicos y fuentes permitidas</x:v>
      </x:c>
      <x:c r="F46" s="11" t="str">
        <x:v>Validar cobertura jurisdiccional, fuentes y revisión del profesional responsable.</x:v>
      </x:c>
      <x:c r="G46" s="11" t="str">
        <x:v>Usuarios, módulos, uso e implementación a cotizar</x:v>
      </x:c>
      <x:c r="H46" s="11" t="str">
        <x:v>https://www.harvey.ai/</x:v>
      </x:c>
      <x:c r="I46" s="11" t="str">
        <x:v>2026-10-02</x:v>
      </x:c>
      <x:c r="J46" s="11" t="str">
        <x:v>Documentación del proveedor; sin prueba comparativa propia</x:v>
      </x:c>
    </x:row>
    <x:row r="47" ht="95" customHeight="1">
      <x:c r="A47" s="6" t="str">
        <x:v>T42</x:v>
      </x:c>
      <x:c r="B47" s="6" t="str">
        <x:v>Microsoft Dragon Copilot</x:v>
      </x:c>
      <x:c r="C47" s="6" t="str">
        <x:v>Salud</x:v>
      </x:c>
      <x:c r="D47" s="6" t="str">
        <x:v>Convertir conversaciones clínicas en notas y asistir tareas del flujo clínico.</x:v>
      </x:c>
      <x:c r="E47" s="6" t="str">
        <x:v>Conversaciones y contexto clínico autorizado</x:v>
      </x:c>
      <x:c r="F47" s="6" t="str">
        <x:v>Comprobar país, idioma, EHR, consentimiento y revisión de cada nota.</x:v>
      </x:c>
      <x:c r="G47" s="6" t="str">
        <x:v>Licencias, usuarios, integración y soporte a cotizar</x:v>
      </x:c>
      <x:c r="H47" s="6" t="str">
        <x:v>https://www.microsoft.com/en-us/health-solutions/clinical-workflow/dragon-copilot</x:v>
      </x:c>
      <x:c r="I47" s="6" t="str">
        <x:v>2026-10-02</x:v>
      </x:c>
      <x:c r="J47" s="6" t="str">
        <x:v>Documentación del proveedor; sin prueba comparativa propia</x:v>
      </x:c>
    </x:row>
    <x:row r="48" ht="95" customHeight="1">
      <x:c r="A48" s="11" t="str">
        <x:v>T43</x:v>
      </x:c>
      <x:c r="B48" s="11" t="str">
        <x:v>John Deere See and Spray</x:v>
      </x:c>
      <x:c r="C48" s="11" t="str">
        <x:v>Agricultura</x:v>
      </x:c>
      <x:c r="D48" s="11" t="str">
        <x:v>Usar visión y aprendizaje automático para aplicación dirigida en equipos compatibles.</x:v>
      </x:c>
      <x:c r="E48" s="11" t="str">
        <x:v>Cámaras, cultivos y maquinaria compatible</x:v>
      </x:c>
      <x:c r="F48" s="11" t="str">
        <x:v>Validar cultivo, condiciones, disponibilidad local, equipo y costo por hectárea.</x:v>
      </x:c>
      <x:c r="G48" s="11" t="str">
        <x:v>Equipo, habilitación, superficie y mantenimiento a cotizar</x:v>
      </x:c>
      <x:c r="H48" s="11" t="str">
        <x:v>https://www.deere.com/en-us/products-solutions/sprayers-and-applicators/see-spray</x:v>
      </x:c>
      <x:c r="I48" s="11" t="str">
        <x:v>2026-10-02</x:v>
      </x:c>
      <x:c r="J48" s="11" t="str">
        <x:v>Documentación del proveedor; sin prueba comparativa propia</x:v>
      </x:c>
    </x:row>
    <x:row r="49" ht="95" customHeight="1">
      <x:c r="A49" s="6" t="str">
        <x:v>T44</x:v>
      </x:c>
      <x:c r="B49" s="6" t="str">
        <x:v>Autodesk Forma AI</x:v>
      </x:c>
      <x:c r="C49" s="6" t="str">
        <x:v>Construcción y diseño</x:v>
      </x:c>
      <x:c r="D49" s="6" t="str">
        <x:v>Aplicar asistencia y funciones de IA al análisis de información de proyectos.</x:v>
      </x:c>
      <x:c r="E49" s="6" t="str">
        <x:v>Documentación y datos del proyecto</x:v>
      </x:c>
      <x:c r="F49" s="6" t="str">
        <x:v>Comprobar función y región; validar documentos y criterios con responsables de obra.</x:v>
      </x:c>
      <x:c r="G49" s="6" t="str">
        <x:v>Suscripción, módulos, usuarios y configuración</x:v>
      </x:c>
      <x:c r="H49" s="6" t="str">
        <x:v>https://www.autodesk.com/solutions/aec/construction-ai-software</x:v>
      </x:c>
      <x:c r="I49" s="6" t="str">
        <x:v>2026-10-02</x:v>
      </x:c>
      <x:c r="J49" s="6" t="str">
        <x:v>Documentación del proveedor; sin prueba comparativa propia</x:v>
      </x:c>
    </x:row>
    <x:row r="50" ht="95" customHeight="1">
      <x:c r="A50" s="11" t="str">
        <x:v>T45</x:v>
      </x:c>
      <x:c r="B50" s="11" t="str">
        <x:v>Langfuse</x:v>
      </x:c>
      <x:c r="C50" s="11" t="str">
        <x:v>Observabilidad y evaluación</x:v>
      </x:c>
      <x:c r="D50" s="11" t="str">
        <x:v>Registrar trazas, versiones de prompts, evaluaciones y métricas de costo y latencia.</x:v>
      </x:c>
      <x:c r="E50" s="11" t="str">
        <x:v>Trazas y conjuntos de evaluación</x:v>
      </x:c>
      <x:c r="F50" s="11" t="str">
        <x:v>Aplicar acceso, minimización y retención a los registros que pueden contener datos sensibles.</x:v>
      </x:c>
      <x:c r="G50" s="11" t="str">
        <x:v>Eventos, almacenamiento, alojamiento y operación</x:v>
      </x:c>
      <x:c r="H50" s="11" t="str">
        <x:v>https://langfuse.com/docs</x:v>
      </x:c>
      <x:c r="I50" s="11" t="str">
        <x:v>2026-10-02</x:v>
      </x:c>
      <x:c r="J50" s="11" t="str">
        <x:v>Documentación del proveedor; sin prueba comparativa propia</x:v>
      </x:c>
    </x:row>
    <x:row r="51" ht="95" customHeight="1">
      <x:c r="A51" s="6" t="str">
        <x:v>T46</x:v>
      </x:c>
      <x:c r="B51" s="6" t="str">
        <x:v>Arize Phoenix</x:v>
      </x:c>
      <x:c r="C51" s="6" t="str">
        <x:v>Observabilidad y evaluación</x:v>
      </x:c>
      <x:c r="D51" s="6" t="str">
        <x:v>Observar y evaluar aplicaciones de IA para analizar su comportamiento.</x:v>
      </x:c>
      <x:c r="E51" s="6" t="str">
        <x:v>Trazas, datos de evaluación y salidas</x:v>
      </x:c>
      <x:c r="F51" s="6" t="str">
        <x:v>Definir evaluaciones propias; una métrica de plataforma no valida el beneficio empresarial.</x:v>
      </x:c>
      <x:c r="G51" s="6" t="str">
        <x:v>Alojamiento, volumen de trazas y operación</x:v>
      </x:c>
      <x:c r="H51" s="6" t="str">
        <x:v>https://arize.com/docs/phoenix</x:v>
      </x:c>
      <x:c r="I51" s="6" t="str">
        <x:v>2026-10-02</x:v>
      </x:c>
      <x:c r="J51" s="6" t="str">
        <x:v>Documentación del proveedor; sin prueba comparativa propia</x:v>
      </x:c>
    </x:row>
    <x:row r="52" ht="95" customHeight="1">
      <x:c r="A52" s="11" t="str">
        <x:v>T47</x:v>
      </x:c>
      <x:c r="B52" s="11" t="str">
        <x:v>IBM watsonx.governance</x:v>
      </x:c>
      <x:c r="C52" s="11" t="str">
        <x:v>Gobierno de IA</x:v>
      </x:c>
      <x:c r="D52" s="11" t="str">
        <x:v>Proveer visibilidad, controles empresariales y seguimiento de gobierno de IA.</x:v>
      </x:c>
      <x:c r="E52" s="11" t="str">
        <x:v>Inventario de IA, evidencia y registros</x:v>
      </x:c>
      <x:c r="F52" s="11" t="str">
        <x:v>Asignar responsables y controles; comprar plataforma no certifica la organización.</x:v>
      </x:c>
      <x:c r="G52" s="11" t="str">
        <x:v>Licencias, activos gestionados e integración a cotizar</x:v>
      </x:c>
      <x:c r="H52" s="11" t="str">
        <x:v>https://www.ibm.com/products/watsonx-governance</x:v>
      </x:c>
      <x:c r="I52" s="11" t="str">
        <x:v>2026-10-02</x:v>
      </x:c>
      <x:c r="J52" s="11" t="str">
        <x:v>Documentación del proveedor; sin prueba comparativa propia</x:v>
      </x:c>
    </x:row>
    <x:row r="53" ht="95" customHeight="1">
      <x:c r="A53" s="6" t="str">
        <x:v>T48</x:v>
      </x:c>
      <x:c r="B53" s="6" t="str">
        <x:v>Claude Code</x:v>
      </x:c>
      <x:c r="C53" s="6" t="str">
        <x:v>Desarrollo</x:v>
      </x:c>
      <x:c r="D53" s="6" t="str">
        <x:v>Leer código, editar archivos, ejecutar comandos e integrar herramientas de desarrollo.</x:v>
      </x:c>
      <x:c r="E53" s="6" t="str">
        <x:v>Repositorios, instrucciones y herramientas autorizadas</x:v>
      </x:c>
      <x:c r="F53" s="6" t="str">
        <x:v>Revisar código y dependencias, ejecutar pruebas y limitar permisos de ejecución.</x:v>
      </x:c>
      <x:c r="G53" s="6" t="str">
        <x:v>Suscripción o consumo API y servicios de ejecución</x:v>
      </x:c>
      <x:c r="H53" s="6" t="str">
        <x:v>https://code.claude.com/docs/en/overview</x:v>
      </x:c>
      <x:c r="I53" s="6" t="str">
        <x:v>2026-10-02</x:v>
      </x:c>
      <x:c r="J53" s="6" t="str">
        <x:v>Documentación del proveedor; sin prueba comparativa propia</x:v>
      </x:c>
    </x:row>
    <x:row r="54" ht="95" customHeight="1">
      <x:c r="A54" s="11" t="str">
        <x:v>T49</x:v>
      </x:c>
      <x:c r="B54" s="11" t="str">
        <x:v>GitHub Copilot cloud agent</x:v>
      </x:c>
      <x:c r="C54" s="11" t="str">
        <x:v>Desarrollo</x:v>
      </x:c>
      <x:c r="D54" s="11" t="str">
        <x:v>Realizar tareas de desarrollo y proponer cambios revisables en GitHub.</x:v>
      </x:c>
      <x:c r="E54" s="11" t="str">
        <x:v>Issues, repositorios y entorno de desarrollo</x:v>
      </x:c>
      <x:c r="F54" s="11" t="str">
        <x:v>Confirmar plan y permisos; revisar cambios antes de integrarlos.</x:v>
      </x:c>
      <x:c r="G54" s="11" t="str">
        <x:v>Plan, consumo y entorno de ejecución</x:v>
      </x:c>
      <x:c r="H54" s="11" t="str">
        <x:v>https://docs.github.com/en/copilot/concepts/agents/cloud-agent/about-cloud-agent</x:v>
      </x:c>
      <x:c r="I54" s="11" t="str">
        <x:v>2026-10-02</x:v>
      </x:c>
      <x:c r="J54" s="11" t="str">
        <x:v>Documentación del proveedor; sin prueba comparativa propia</x:v>
      </x:c>
    </x:row>
    <x:row r="55" ht="95" customHeight="1">
      <x:c r="A55" s="6" t="str">
        <x:v>T50</x:v>
      </x:c>
      <x:c r="B55" s="6" t="str">
        <x:v>Codex</x:v>
      </x:c>
      <x:c r="C55" s="6" t="str">
        <x:v>Desarrollo y trabajo con datos</x:v>
      </x:c>
      <x:c r="D55" s="6" t="str">
        <x:v>Trabajar sobre archivos, preparar datos y desarrollar integraciones y aplicaciones.</x:v>
      </x:c>
      <x:c r="E55" s="6" t="str">
        <x:v>Carpeta de datos o proyecto y criterios de aceptación</x:v>
      </x:c>
      <x:c r="F55" s="6" t="str">
        <x:v>Comprobar permisos, resultados y pruebas; documentar transformaciones.</x:v>
      </x:c>
      <x:c r="G55" s="6" t="str">
        <x:v>Plan, límites y consumo de servicios integrados</x:v>
      </x:c>
      <x:c r="H55" s="6" t="str">
        <x:v>https://developers.openai.com/codex/use-cases</x:v>
      </x:c>
      <x:c r="I55" s="6" t="str">
        <x:v>2026-10-02</x:v>
      </x:c>
      <x:c r="J55" s="6" t="str">
        <x:v>Documentación del proveedor; sin prueba comparativa propia</x:v>
      </x:c>
    </x:row>
    <x:row r="56" ht="95" customHeight="1">
      <x:c r="A56" s="11" t="str">
        <x:v>T51</x:v>
      </x:c>
      <x:c r="B56" s="11" t="str">
        <x:v>Microsoft 365 Copilot</x:v>
      </x:c>
      <x:c r="C56" s="11" t="str">
        <x:v>Suite de productividad</x:v>
      </x:c>
      <x:c r="D56" s="11" t="str">
        <x:v>Asistir trabajo en aplicaciones de Microsoft 365 y análisis en Excel.</x:v>
      </x:c>
      <x:c r="E56" s="11" t="str">
        <x:v>Documentos, correo, reuniones y libros autorizados</x:v>
      </x:c>
      <x:c r="F56" s="11" t="str">
        <x:v>Confirmar licencia, funciones habilitadas y permisos de archivos compartidos.</x:v>
      </x:c>
      <x:c r="G56" s="11" t="str">
        <x:v>Usuarios, licencia base y capacidades adicionales</x:v>
      </x:c>
      <x:c r="H56" s="11" t="str">
        <x:v>https://www.microsoft.com/en-us/copilot/solutions/business</x:v>
      </x:c>
      <x:c r="I56" s="11" t="str">
        <x:v>2026-10-02</x:v>
      </x:c>
      <x:c r="J56" s="11" t="str">
        <x:v>Documentación del proveedor; sin prueba comparativa propia</x:v>
      </x:c>
    </x:row>
  </x:sheetData>
  <x:pageMargins left="0.7" right="0.7" top="0.75" bottom="0.75" header="0.3" footer="0.3"/>
  <x:tableParts count="1">
    <x:tablePart xmlns:r="http://schemas.openxmlformats.org/officeDocument/2006/relationships" r:id="Reba1193452ef4bcf"/>
  </x:tableParts>
</x:worksheet>
</file>

<file path=xl/worksheets/sheet8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35" hidden="0" customWidth="1"/>
    <x:col min="3" max="3" width="67" hidden="0" customWidth="1"/>
    <x:col min="4" max="4" width="62" hidden="0" customWidth="1"/>
    <x:col min="5" max="5" width="8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Metodologías y referencias globales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>
      <x:c r="A4" s="1"/>
      <x:c r="B4" s="1"/>
      <x:c r="C4" s="1"/>
      <x:c r="D4" s="1"/>
      <x:c r="E4" s="1"/>
    </x:row>
    <x:row r="5" ht="46" customHeight="1">
      <x:c r="A5" s="10" t="str">
        <x:v>Referencia</x:v>
      </x:c>
      <x:c r="B5" s="10" t="str">
        <x:v>Naturaleza</x:v>
      </x:c>
      <x:c r="C5" s="10" t="str">
        <x:v>Alcance</x:v>
      </x:c>
      <x:c r="D5" s="10" t="str">
        <x:v>Uso en la clase</x:v>
      </x:c>
      <x:c r="E5" s="10" t="str">
        <x:v>Fuente oficial</x:v>
      </x:c>
    </x:row>
    <x:row r="6" ht="80" customHeight="1">
      <x:c r="A6" s="11" t="str">
        <x:v>NIST AI RMF 1.0</x:v>
      </x:c>
      <x:c r="B6" s="11" t="str">
        <x:v>Marco voluntario</x:v>
      </x:c>
      <x:c r="C6" s="11" t="str">
        <x:v>GOVERN, MAP, MEASURE y MANAGE para gestionar confianza y riesgo.</x:v>
      </x:c>
      <x:c r="D6" s="11" t="str">
        <x:v>Responsables, contexto, evaluación y tratamiento del riesgo</x:v>
      </x:c>
      <x:c r="E6" s="11" t="str">
        <x:v>https://www.nist.gov/itl/ai-risk-management-framework</x:v>
      </x:c>
    </x:row>
    <x:row r="7" ht="80" customHeight="1">
      <x:c r="A7" s="6" t="str">
        <x:v>NIST AI 600-1</x:v>
      </x:c>
      <x:c r="B7" s="6" t="str">
        <x:v>Perfil de IA generativa</x:v>
      </x:c>
      <x:c r="C7" s="6" t="str">
        <x:v>Riesgos y acciones específicas para IA generativa.</x:v>
      </x:c>
      <x:c r="D7" s="6" t="str">
        <x:v>Confiabilidad de contenido, datos, información y dependencias</x:v>
      </x:c>
      <x:c r="E7" s="6" t="str">
        <x:v>https://nvlpubs.nist.gov/nistpubs/ai/NIST.AI.600-1.pdf</x:v>
      </x:c>
    </x:row>
    <x:row r="8" ht="80" customHeight="1">
      <x:c r="A8" s="11" t="str">
        <x:v>ISO/IEC 42001:2023</x:v>
      </x:c>
      <x:c r="B8" s="11" t="str">
        <x:v>Norma de sistema de gestión</x:v>
      </x:c>
      <x:c r="C8" s="11" t="str">
        <x:v>Sistema de gestión de IA con mejora continua.</x:v>
      </x:c>
      <x:c r="D8" s="11" t="str">
        <x:v>Política, roles y proceso de gobierno organizacional</x:v>
      </x:c>
      <x:c r="E8" s="11" t="str">
        <x:v>https://www.iso.org/standard/42001</x:v>
      </x:c>
    </x:row>
    <x:row r="9" ht="80" customHeight="1">
      <x:c r="A9" s="6" t="str">
        <x:v>ISO/IEC 23894:2023</x:v>
      </x:c>
      <x:c r="B9" s="6" t="str">
        <x:v>Guía de gestión del riesgo</x:v>
      </x:c>
      <x:c r="C9" s="6" t="str">
        <x:v>Integrar gestión de riesgos de IA en actividades de la organización.</x:v>
      </x:c>
      <x:c r="D9" s="6" t="str">
        <x:v>Identificar, analizar y tratar riesgos según contexto</x:v>
      </x:c>
      <x:c r="E9" s="6" t="str">
        <x:v>https://www.iso.org/standard/77304.html</x:v>
      </x:c>
    </x:row>
    <x:row r="10" ht="80" customHeight="1">
      <x:c r="A10" s="11" t="str">
        <x:v>Principios OCDE de IA</x:v>
      </x:c>
      <x:c r="B10" s="11" t="str">
        <x:v>Principios intergubernamentales</x:v>
      </x:c>
      <x:c r="C10" s="11" t="str">
        <x:v>Derechos, transparencia, robustez y responsabilidad.</x:v>
      </x:c>
      <x:c r="D10" s="11" t="str">
        <x:v>Impactos, información al afectado y posibilidad de revisión</x:v>
      </x:c>
      <x:c r="E10" s="11" t="str">
        <x:v>https://www.oecd.org/en/topics/ai-principles.html</x:v>
      </x:c>
    </x:row>
    <x:row r="11" ht="80" customHeight="1">
      <x:c r="A11" s="6" t="str">
        <x:v>OWASP Top 10 for LLM Applications 2025</x:v>
      </x:c>
      <x:c r="B11" s="6" t="str">
        <x:v>Referencia de seguridad</x:v>
      </x:c>
      <x:c r="C11" s="6" t="str">
        <x:v>Amenazas específicas de sistemas con modelos de lenguaje.</x:v>
      </x:c>
      <x:c r="D11" s="6" t="str">
        <x:v>Inyección, datos sensibles, permisos y consumo descontrolado</x:v>
      </x:c>
      <x:c r="E11" s="6" t="str">
        <x:v>https://genai.owasp.org/llm-top-10/</x:v>
      </x:c>
    </x:row>
    <x:row r="12" ht="80" customHeight="1">
      <x:c r="A12" s="11" t="str">
        <x:v>FinOps Framework y FinOps for AI</x:v>
      </x:c>
      <x:c r="B12" s="11" t="str">
        <x:v>Práctica operativa financiera</x:v>
      </x:c>
      <x:c r="C12" s="11" t="str">
        <x:v>Relacionar consumo tecnológico, asignación de costos y valor.</x:v>
      </x:c>
      <x:c r="D12" s="11" t="str">
        <x:v>Costo por resultado aceptado y seguimiento por caso de uso</x:v>
      </x:c>
      <x:c r="E12" s="11" t="str">
        <x:v>https://www.finops.org/wg/finops-for-ai-tools-services-considerations/</x:v>
      </x:c>
    </x:row>
    <x:row r="13" ht="80" customHeight="1">
      <x:c r="A13" s="6" t="str">
        <x:v>FinOps AI cost forecasting</x:v>
      </x:c>
      <x:c r="B13" s="6" t="str">
        <x:v>Guía de pronóstico</x:v>
      </x:c>
      <x:c r="C13" s="6" t="str">
        <x:v>Dimensionar demanda y costo de servicios de IA.</x:v>
      </x:c>
      <x:c r="D13" s="6" t="str">
        <x:v>Volumen, mezcla de modelos, escenarios y desvío de presupuesto</x:v>
      </x:c>
      <x:c r="E13" s="6" t="str">
        <x:v>https://www.finops.org/wg/how-to-forecast-ai-services-costs-in-cloud/</x:v>
      </x:c>
    </x:row>
    <x:row r="14" ht="80" customHeight="1">
      <x:c r="A14" s="11" t="str">
        <x:v>FinOps infrastructure strategy</x:v>
      </x:c>
      <x:c r="B14" s="11" t="str">
        <x:v>Guía de arquitectura y costos</x:v>
      </x:c>
      <x:c r="C14" s="11" t="str">
        <x:v>Comparar alternativas de infraestructura de IA.</x:v>
      </x:c>
      <x:c r="D14" s="11" t="str">
        <x:v>API frente a infraestructura propia y costos compartidos</x:v>
      </x:c>
      <x:c r="E14" s="11" t="str">
        <x:v>https://www.finops.org/wg/choosing-an-ai-approach-and-infrastructure-strategy/</x:v>
      </x:c>
    </x:row>
    <x:row r="15" ht="80" customHeight="1">
      <x:c r="A15" s="6" t="str">
        <x:v>CRISP-DM</x:v>
      </x:c>
      <x:c r="B15" s="6" t="str">
        <x:v>Metodología de proyectos de datos</x:v>
      </x:c>
      <x:c r="C15" s="6" t="str">
        <x:v>Entender negocio y datos, preparar, modelar, evaluar y desplegar.</x:v>
      </x:c>
      <x:c r="D15" s="6" t="str">
        <x:v>Laboratorio analítico y seguimiento del caso</x:v>
      </x:c>
      <x:c r="E15" s="6" t="str">
        <x:v>https://www.ibm.com/docs/en/spss-modeler/18.6.0?topic=dm-crisp-help-overview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cd6518d283e94447"/>
  </x:tableParts>
</x:worksheet>
</file>

<file path=xl/worksheets/sheet9.xml><?xml version="1.0" encoding="utf-8"?>
<x:worksheet xmlns:x="http://schemas.openxmlformats.org/spreadsheetml/2006/main">
  <x:sheetPr>
    <x:tabColor rgb="FF25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118" hidden="0" customWidth="1"/>
  </x:cols>
  <x:sheetData>
    <x:row r="1">
      <x:c r="A1" s="1"/>
      <x:c r="B1" s="1"/>
    </x:row>
    <x:row r="2">
      <x:c r="A2" s="2" t="str">
        <x:v>Cómo usar y actualizar la matriz</x:v>
      </x:c>
      <x:c r="B2" s="1"/>
    </x:row>
    <x:row r="3">
      <x:c r="A3" s="3"/>
      <x:c r="B3" s="3"/>
    </x:row>
    <x:row r="4">
      <x:c r="A4" s="1"/>
      <x:c r="B4" s="1"/>
    </x:row>
    <x:row r="5" ht="46" customHeight="1">
      <x:c r="A5" s="10" t="str">
        <x:v>Tema</x:v>
      </x:c>
      <x:c r="B5" s="10" t="str">
        <x:v>Regla de lectura</x:v>
      </x:c>
    </x:row>
    <x:row r="6" ht="55" customHeight="1">
      <x:c r="A6" s="11" t="str">
        <x:v>Cobertura</x:v>
      </x:c>
      <x:c r="B6" s="11" t="str">
        <x:v>51 herramientas, 12 industrias y 48 aplicaciones. Selección amplia de familias, no inventario exhaustivo del mercado.</x:v>
      </x:c>
    </x:row>
    <x:row r="7" ht="55" customHeight="1">
      <x:c r="A7" s="6" t="str">
        <x:v>Fecha</x:v>
      </x:c>
      <x:c r="B7" s="6" t="str">
        <x:v>Consulta documental del 2 de octubre de 2026. Funciones, nombres y precios requieren revisión al comprar.</x:v>
      </x:c>
    </x:row>
    <x:row r="8" ht="55" customHeight="1">
      <x:c r="A8" s="11" t="str">
        <x:v>D</x:v>
      </x:c>
      <x:c r="B8" s="11" t="str">
        <x:v>La fuente oficial describe la capacidad. No demuestra desempeño, acceso de alumnos ni integración contratada.</x:v>
      </x:c>
    </x:row>
    <x:row r="9" ht="55" customHeight="1">
      <x:c r="A9" s="6" t="str">
        <x:v>I</x:v>
      </x:c>
      <x:c r="B9" s="6" t="str">
        <x:v>Aplicación o integración propuesta por el estudio. Requiere configuración y prueba local.</x:v>
      </x:c>
    </x:row>
    <x:row r="10" ht="55" customHeight="1">
      <x:c r="A10" s="11" t="str">
        <x:v>—</x:v>
      </x:c>
      <x:c r="B10" s="11" t="str">
        <x:v>Capacidad no evaluada en esta revisión. No significa que el producto carezca de ella.</x:v>
      </x:c>
    </x:row>
    <x:row r="11" ht="55" customHeight="1">
      <x:c r="A11" s="6" t="str">
        <x:v>Industrias</x:v>
      </x:c>
      <x:c r="B11" s="6" t="str">
        <x:v>Las aplicaciones y candidatos son hipótesis de diseño. No se atribuyen resultados ni implementaciones a proveedores.</x:v>
      </x:c>
    </x:row>
    <x:row r="12" ht="55" customHeight="1">
      <x:c r="A12" s="11" t="str">
        <x:v>Checklist</x:v>
      </x:c>
      <x:c r="B12" s="11" t="str">
        <x:v>Traducción docente de marcos globales. Los umbrales y condiciones críticas son criterios propuestos para el ejercicio.</x:v>
      </x:c>
    </x:row>
    <x:row r="13" ht="55" customHeight="1">
      <x:c r="A13" s="6" t="str">
        <x:v>Estados</x:v>
      </x:c>
      <x:c r="B13" s="6" t="str">
        <x:v>Cumple requiere evidencia observada. No aplica requiere justificación del responsable.</x:v>
      </x:c>
    </x:row>
    <x:row r="14" ht="55" customHeight="1">
      <x:c r="A14" s="11" t="str">
        <x:v>Costos</x:v>
      </x:c>
      <x:c r="B14" s="11" t="str">
        <x:v>Ejemplo ficticio en USD con tarifas de tokens documentadas. El trabajo humano se valora económicamente.</x:v>
      </x:c>
    </x:row>
    <x:row r="15" ht="55" customHeight="1">
      <x:c r="A15" s="6" t="str">
        <x:v>Costo por resultado</x:v>
      </x:c>
      <x:c r="B15" s="6" t="str">
        <x:v>Definir misma unidad, calidad y periodo en todas las alternativas. Separar modelo, sistema completo y trabajo humano.</x:v>
      </x:c>
    </x:row>
    <x:row r="16" ht="55" customHeight="1">
      <x:c r="A16" s="11" t="str">
        <x:v>Precios</x:v>
      </x:c>
      <x:c r="B16" s="11" t="str">
        <x:v>Tarifas públicas conserva 13 referencias seleccionadas con moneda y compromiso. Otros precios quedan por investigar o cotizar.</x:v>
      </x:c>
    </x:row>
    <x:row r="17" ht="55" customHeight="1">
      <x:c r="A17" s="6" t="str">
        <x:v>Modelos abiertos</x:v>
      </x:c>
      <x:c r="B17" s="6" t="str">
        <x:v>Revisar licencia y despliegue. Sin cuota por token no significa operación sin costo.</x:v>
      </x:c>
    </x:row>
    <x:row r="18" ht="55" customHeight="1">
      <x:c r="A18" s="11" t="str">
        <x:v>Compra</x:v>
      </x:c>
      <x:c r="B18" s="11" t="str">
        <x:v>Comparar configurar en software existente, comprar una solución especializada, integrar y desarrollar.</x:v>
      </x:c>
    </x:row>
    <x:row r="19" ht="55" customHeight="1">
      <x:c r="A19" s="6" t="str">
        <x:v>Certificación</x:v>
      </x:c>
      <x:c r="B19" s="6" t="str">
        <x:v>La lista no acredita conformidad ISO ni sustituye una auditoría. Se usaron descripciones públicas de las normas.</x:v>
      </x:c>
    </x:row>
    <x:row r="20" ht="55" customHeight="1">
      <x:c r="A20" s="11" t="str">
        <x:v>Prueba comparativa</x:v>
      </x:c>
      <x:c r="B20" s="11" t="str">
        <x:v>No se ejecutó un benchmark ni el guion en Tableau. El cierre usa Agent y Pulse; se requiere ensayar el sitio habilitado.</x:v>
      </x:c>
    </x:row>
  </x:sheetData>
  <x:pageMargins left="0.7" right="0.7" top="0.75" bottom="0.75" header="0.3" footer="0.3"/>
  <x:tableParts count="1">
    <x:tablePart xmlns:r="http://schemas.openxmlformats.org/officeDocument/2006/relationships" r:id="R0759aabd290749e5"/>
  </x:tableParts>
</x:worksheet>
</file>